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bertingroup-my.sharepoint.com/personal/romain_beroudblanc_bertin_group/Documents/Documents/Heurs supp/"/>
    </mc:Choice>
  </mc:AlternateContent>
  <xr:revisionPtr revIDLastSave="205" documentId="13_ncr:1_{70822E85-959C-400E-905B-30B4922BBFAA}" xr6:coauthVersionLast="47" xr6:coauthVersionMax="47" xr10:uidLastSave="{A1672617-BB90-454A-9712-6A2A56019CD1}"/>
  <bookViews>
    <workbookView xWindow="-108" yWindow="-108" windowWidth="23256" windowHeight="12456" xr2:uid="{00000000-000D-0000-FFFF-FFFF00000000}"/>
  </bookViews>
  <sheets>
    <sheet name="FT-TIS" sheetId="4" r:id="rId1"/>
    <sheet name="Scénarii tests de validation" sheetId="9" state="hidden" r:id="rId2"/>
    <sheet name="Astreinte" sheetId="8" r:id="rId3"/>
    <sheet name="Datas" sheetId="7" state="hidden" r:id="rId4"/>
  </sheets>
  <definedNames>
    <definedName name="Astreinte_DebFin" localSheetId="2">Astreinte!$O$19:$R$25</definedName>
    <definedName name="Astreinte_Nb_HresInterv">Astreinte!$AO$39</definedName>
    <definedName name="Astreinte_Nb_UBA">Astreinte!$AA$14</definedName>
    <definedName name="Date_Deb">'FT-TIS'!$H$3</definedName>
    <definedName name="Date_Fin">'FT-TIS'!$Y$3</definedName>
    <definedName name="NomSupHiercharchique">'FT-TIS'!$AK$38</definedName>
    <definedName name="NomTechnicien">'FT-TIS'!$AA$38</definedName>
    <definedName name="NumSemaine">'FT-TIS'!$AS$3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3" i="4" l="1"/>
  <c r="Y3" i="4" l="1"/>
  <c r="C17" i="4" l="1"/>
  <c r="CU22" i="9" l="1"/>
  <c r="CK22" i="9"/>
  <c r="CU21" i="9"/>
  <c r="CK21" i="9"/>
  <c r="CU20" i="9"/>
  <c r="CK20" i="9"/>
  <c r="CU19" i="9"/>
  <c r="CK19" i="9"/>
  <c r="CU18" i="9"/>
  <c r="CK18" i="9"/>
  <c r="CU17" i="9"/>
  <c r="CK17" i="9"/>
  <c r="CU16" i="9"/>
  <c r="CK16" i="9"/>
  <c r="CU10" i="9"/>
  <c r="CU9" i="9"/>
  <c r="CU8" i="9"/>
  <c r="CU7" i="9"/>
  <c r="CU6" i="9"/>
  <c r="CU5" i="9"/>
  <c r="CU4" i="9"/>
  <c r="CD22" i="9"/>
  <c r="BT22" i="9"/>
  <c r="CD21" i="9"/>
  <c r="BT21" i="9"/>
  <c r="CD20" i="9"/>
  <c r="BT20" i="9"/>
  <c r="CD19" i="9"/>
  <c r="BT19" i="9"/>
  <c r="CD18" i="9"/>
  <c r="BT18" i="9"/>
  <c r="CD17" i="9"/>
  <c r="BT17" i="9"/>
  <c r="CD16" i="9"/>
  <c r="BT16" i="9"/>
  <c r="CD10" i="9"/>
  <c r="CD9" i="9"/>
  <c r="CD8" i="9"/>
  <c r="CD7" i="9"/>
  <c r="CD6" i="9"/>
  <c r="CD5" i="9"/>
  <c r="CD4" i="9"/>
  <c r="BM22" i="9"/>
  <c r="BC22" i="9"/>
  <c r="BM21" i="9"/>
  <c r="BC21" i="9"/>
  <c r="BM20" i="9"/>
  <c r="BC20" i="9"/>
  <c r="BM19" i="9"/>
  <c r="BC19" i="9"/>
  <c r="BM18" i="9"/>
  <c r="BC18" i="9"/>
  <c r="BM17" i="9"/>
  <c r="BC17" i="9"/>
  <c r="BM16" i="9"/>
  <c r="BC16" i="9"/>
  <c r="BM10" i="9"/>
  <c r="BM9" i="9"/>
  <c r="BM8" i="9"/>
  <c r="BM7" i="9"/>
  <c r="BM6" i="9"/>
  <c r="BM5" i="9"/>
  <c r="BM4" i="9"/>
  <c r="AV22" i="9"/>
  <c r="AL22" i="9"/>
  <c r="AV21" i="9"/>
  <c r="AL21" i="9"/>
  <c r="AV20" i="9"/>
  <c r="AL20" i="9"/>
  <c r="AV19" i="9"/>
  <c r="AL19" i="9"/>
  <c r="AV18" i="9"/>
  <c r="AL18" i="9"/>
  <c r="AV17" i="9"/>
  <c r="AL17" i="9"/>
  <c r="AV16" i="9"/>
  <c r="AL16" i="9"/>
  <c r="AV10" i="9"/>
  <c r="AV9" i="9"/>
  <c r="AV8" i="9"/>
  <c r="AV7" i="9"/>
  <c r="AV6" i="9"/>
  <c r="AV5" i="9"/>
  <c r="AV4" i="9"/>
  <c r="AE22" i="9"/>
  <c r="U22" i="9"/>
  <c r="AE21" i="9"/>
  <c r="U21" i="9"/>
  <c r="AE20" i="9"/>
  <c r="U20" i="9"/>
  <c r="AE19" i="9"/>
  <c r="U19" i="9"/>
  <c r="AE18" i="9"/>
  <c r="U18" i="9"/>
  <c r="AE17" i="9"/>
  <c r="U17" i="9"/>
  <c r="AE16" i="9"/>
  <c r="U16" i="9"/>
  <c r="AE10" i="9"/>
  <c r="AE9" i="9"/>
  <c r="AE8" i="9"/>
  <c r="AE7" i="9"/>
  <c r="AE6" i="9"/>
  <c r="AE5" i="9"/>
  <c r="AE4" i="9"/>
  <c r="N22" i="9"/>
  <c r="D22" i="9"/>
  <c r="N21" i="9"/>
  <c r="D21" i="9"/>
  <c r="N20" i="9"/>
  <c r="D20" i="9"/>
  <c r="N19" i="9"/>
  <c r="D19" i="9"/>
  <c r="N18" i="9"/>
  <c r="D18" i="9"/>
  <c r="N17" i="9"/>
  <c r="D17" i="9"/>
  <c r="N16" i="9"/>
  <c r="N23" i="9" s="1"/>
  <c r="D16" i="9"/>
  <c r="N10" i="9"/>
  <c r="N9" i="9"/>
  <c r="N8" i="9"/>
  <c r="N7" i="9"/>
  <c r="N6" i="9"/>
  <c r="N5" i="9"/>
  <c r="N4" i="9"/>
  <c r="C2" i="7"/>
  <c r="B3" i="7"/>
  <c r="B4" i="7" s="1"/>
  <c r="BM23" i="9" l="1"/>
  <c r="AV23" i="9"/>
  <c r="AE23" i="9"/>
  <c r="AE11" i="9"/>
  <c r="CD23" i="9"/>
  <c r="CU23" i="9"/>
  <c r="CU11" i="9"/>
  <c r="CD11" i="9"/>
  <c r="BM11" i="9"/>
  <c r="AV11" i="9"/>
  <c r="N11" i="9"/>
  <c r="AA12" i="8"/>
  <c r="AA13" i="8"/>
  <c r="P21" i="4"/>
  <c r="P27" i="4"/>
  <c r="P26" i="4"/>
  <c r="P25" i="4"/>
  <c r="P24" i="4"/>
  <c r="P23" i="4"/>
  <c r="P22" i="4"/>
  <c r="P7" i="4"/>
  <c r="R21" i="4" s="1"/>
  <c r="T21" i="4" l="1"/>
  <c r="P10" i="4"/>
  <c r="R7" i="4"/>
  <c r="U10" i="8"/>
  <c r="P8" i="4"/>
  <c r="AS17" i="4" s="1"/>
  <c r="AS16" i="4" s="1"/>
  <c r="P9" i="4"/>
  <c r="P11" i="4"/>
  <c r="P12" i="4"/>
  <c r="R26" i="4" s="1"/>
  <c r="T26" i="4" s="1"/>
  <c r="P13" i="4"/>
  <c r="T7" i="4"/>
  <c r="T10" i="4"/>
  <c r="T11" i="4"/>
  <c r="T12" i="4"/>
  <c r="T13" i="4"/>
  <c r="G3" i="7" l="1"/>
  <c r="R12" i="4"/>
  <c r="R13" i="4"/>
  <c r="R27" i="4"/>
  <c r="T27" i="4" s="1"/>
  <c r="R11" i="4"/>
  <c r="R25" i="4"/>
  <c r="T25" i="4" s="1"/>
  <c r="R9" i="4"/>
  <c r="R23" i="4"/>
  <c r="T23" i="4" s="1"/>
  <c r="T8" i="4"/>
  <c r="R8" i="4"/>
  <c r="R22" i="4"/>
  <c r="T22" i="4" s="1"/>
  <c r="R10" i="4"/>
  <c r="R24" i="4"/>
  <c r="T9" i="4"/>
  <c r="U8" i="8"/>
  <c r="U9" i="8"/>
  <c r="U11" i="8"/>
  <c r="U12" i="8"/>
  <c r="U13" i="8"/>
  <c r="U7" i="8"/>
  <c r="S22" i="8"/>
  <c r="S21" i="8"/>
  <c r="G4" i="7" l="1"/>
  <c r="T24" i="4"/>
  <c r="T28" i="4" s="1"/>
  <c r="R28" i="4"/>
  <c r="S25" i="8"/>
  <c r="S24" i="8"/>
  <c r="S23" i="8"/>
  <c r="S20" i="8"/>
  <c r="S19" i="8"/>
  <c r="AO25" i="8"/>
  <c r="AO24" i="8"/>
  <c r="AO23" i="8"/>
  <c r="AO22" i="8"/>
  <c r="AO21" i="8"/>
  <c r="AO20" i="8"/>
  <c r="AO19" i="8"/>
  <c r="AD20" i="8"/>
  <c r="AD21" i="8"/>
  <c r="AD22" i="8"/>
  <c r="AD23" i="8"/>
  <c r="AD24" i="8"/>
  <c r="AD25" i="8"/>
  <c r="AD19" i="8"/>
  <c r="H20" i="8" l="1"/>
  <c r="H21" i="8"/>
  <c r="H22" i="8"/>
  <c r="H23" i="8"/>
  <c r="H24" i="8"/>
  <c r="H25" i="8"/>
  <c r="H19" i="8"/>
  <c r="A41" i="8"/>
  <c r="AA8" i="8"/>
  <c r="AM33" i="8" s="1"/>
  <c r="F8" i="8"/>
  <c r="F9" i="8"/>
  <c r="F10" i="8"/>
  <c r="F11" i="8"/>
  <c r="W11" i="8" s="1"/>
  <c r="F12" i="8"/>
  <c r="F13" i="8"/>
  <c r="F7" i="8"/>
  <c r="AA11" i="8" l="1"/>
  <c r="AM36" i="8" s="1"/>
  <c r="AM38" i="8"/>
  <c r="W13" i="8"/>
  <c r="AA9" i="8"/>
  <c r="AM34" i="8" s="1"/>
  <c r="W9" i="8"/>
  <c r="Y12" i="8"/>
  <c r="W12" i="8"/>
  <c r="F20" i="8"/>
  <c r="W8" i="8"/>
  <c r="F19" i="8"/>
  <c r="AS19" i="8" s="1"/>
  <c r="W7" i="8"/>
  <c r="F22" i="8"/>
  <c r="W22" i="8" s="1"/>
  <c r="W10" i="8"/>
  <c r="AO38" i="8"/>
  <c r="AO34" i="8"/>
  <c r="AO37" i="8"/>
  <c r="AO33" i="8"/>
  <c r="AO32" i="8"/>
  <c r="F24" i="8"/>
  <c r="AS24" i="8" s="1"/>
  <c r="Y8" i="8"/>
  <c r="AO26" i="8"/>
  <c r="Y10" i="8"/>
  <c r="AO35" i="8"/>
  <c r="AO36" i="8"/>
  <c r="AA7" i="8"/>
  <c r="AM32" i="8" s="1"/>
  <c r="AA10" i="8"/>
  <c r="AM35" i="8" s="1"/>
  <c r="AM37" i="8"/>
  <c r="AD26" i="8"/>
  <c r="F25" i="8"/>
  <c r="S26" i="8"/>
  <c r="U14" i="8"/>
  <c r="Y9" i="8"/>
  <c r="Y13" i="8"/>
  <c r="F21" i="8"/>
  <c r="Y11" i="8"/>
  <c r="F23" i="8"/>
  <c r="Y7" i="8"/>
  <c r="W19" i="8" l="1"/>
  <c r="AH19" i="8"/>
  <c r="U19" i="8"/>
  <c r="AF19" i="8"/>
  <c r="AQ19" i="8"/>
  <c r="AQ25" i="8"/>
  <c r="AS25" i="8"/>
  <c r="U25" i="8"/>
  <c r="AF25" i="8"/>
  <c r="AF22" i="8"/>
  <c r="AS22" i="8"/>
  <c r="U22" i="8"/>
  <c r="AH22" i="8"/>
  <c r="AQ22" i="8"/>
  <c r="AH20" i="8"/>
  <c r="AQ20" i="8"/>
  <c r="AF20" i="8"/>
  <c r="AS20" i="8"/>
  <c r="U20" i="8"/>
  <c r="AF23" i="8"/>
  <c r="AS23" i="8"/>
  <c r="U23" i="8"/>
  <c r="AQ23" i="8"/>
  <c r="AH21" i="8"/>
  <c r="AS21" i="8"/>
  <c r="U21" i="8"/>
  <c r="AF21" i="8"/>
  <c r="AQ21" i="8"/>
  <c r="W20" i="8"/>
  <c r="W24" i="8"/>
  <c r="AQ24" i="8"/>
  <c r="AF24" i="8"/>
  <c r="U24" i="8"/>
  <c r="AH24" i="8"/>
  <c r="AA14" i="8"/>
  <c r="AO39" i="8"/>
  <c r="W14" i="8"/>
  <c r="W21" i="8"/>
  <c r="AH23" i="8"/>
  <c r="W23" i="8"/>
  <c r="AH25" i="8"/>
  <c r="W25" i="8"/>
  <c r="Y14" i="8"/>
  <c r="F22" i="4"/>
  <c r="F23" i="4"/>
  <c r="F24" i="4"/>
  <c r="F25" i="4"/>
  <c r="F26" i="4"/>
  <c r="F27" i="4"/>
  <c r="F21" i="4"/>
  <c r="AS32" i="8" l="1"/>
  <c r="AS29" i="4"/>
  <c r="AQ32" i="8"/>
  <c r="AM39" i="8"/>
  <c r="AL19" i="4"/>
  <c r="AS35" i="8"/>
  <c r="AQ33" i="8"/>
  <c r="AQ35" i="8"/>
  <c r="AS33" i="8"/>
  <c r="AQ37" i="8"/>
  <c r="AS37" i="8"/>
  <c r="C33" i="4"/>
  <c r="W26" i="8"/>
  <c r="AS34" i="8"/>
  <c r="AQ34" i="8"/>
  <c r="AF26" i="8"/>
  <c r="AQ36" i="8"/>
  <c r="AS36" i="8"/>
  <c r="AS38" i="8"/>
  <c r="AQ38" i="8"/>
  <c r="U26" i="8"/>
  <c r="AH26" i="8"/>
  <c r="R14" i="4"/>
  <c r="AS12" i="4" l="1"/>
  <c r="AS27" i="4"/>
  <c r="AQ26" i="8"/>
  <c r="AS26" i="8"/>
  <c r="AQ39" i="8"/>
  <c r="AS39" i="8"/>
  <c r="AL22" i="4" l="1"/>
  <c r="AL5" i="4" l="1"/>
  <c r="AJ28" i="8"/>
  <c r="C16" i="4"/>
  <c r="P14" i="4" l="1"/>
  <c r="B8" i="7"/>
  <c r="P28" i="4"/>
  <c r="AS30" i="4" l="1"/>
  <c r="AS28" i="4"/>
  <c r="AS26" i="4"/>
  <c r="T14" i="4"/>
  <c r="AS13" i="4" s="1"/>
  <c r="C8" i="7"/>
  <c r="B9" i="7" s="1"/>
  <c r="AS10" i="4" l="1"/>
  <c r="AS15" i="4"/>
  <c r="AS9" i="4"/>
  <c r="AS25" i="4"/>
  <c r="E9" i="7"/>
  <c r="AS11" i="4" l="1"/>
  <c r="AS8" i="4"/>
  <c r="AS14" i="4"/>
  <c r="Y3" i="8"/>
  <c r="H3" i="8"/>
  <c r="AS3" i="8"/>
  <c r="AS7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WARTEL Thierry</author>
    <author>WARTEL, Thierry</author>
  </authors>
  <commentList>
    <comment ref="H3" authorId="0" shapeId="0" xr:uid="{00000000-0006-0000-0000-000001000000}">
      <text>
        <r>
          <rPr>
            <sz val="9"/>
            <color indexed="81"/>
            <rFont val="Tahoma"/>
            <family val="2"/>
          </rPr>
          <t>En entrant "25/7", il s'affichera automatiquement 
"Lundi 25 Juillet 2022" (si on est en 2022 !)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AS3" authorId="1" shapeId="0" xr:uid="{46BC04D0-2658-4800-ACF4-36C4B6094C20}">
      <text>
        <r>
          <rPr>
            <sz val="8"/>
            <color indexed="81"/>
            <rFont val="Arial"/>
            <family val="2"/>
          </rPr>
          <t xml:space="preserve">Le N° de la semaine est celui défini par la norme ISO 8601 </t>
        </r>
        <r>
          <rPr>
            <sz val="6"/>
            <color indexed="81"/>
            <rFont val="Arial"/>
            <family val="2"/>
          </rPr>
          <t>(la semaine 1 est celle contenant le 1er jeudi de l'année civile)</t>
        </r>
      </text>
    </comment>
    <comment ref="H7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7" authorId="0" shapeId="0" xr:uid="{00000000-0006-0000-0000-00000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7" authorId="0" shapeId="0" xr:uid="{00000000-0006-0000-0000-00000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N7" authorId="0" shapeId="0" xr:uid="{0847C88E-6081-4872-BD38-0CE1A6C754B5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8" authorId="0" shapeId="0" xr:uid="{00000000-0006-0000-0000-00000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8" authorId="0" shapeId="0" xr:uid="{00000000-0006-0000-0000-00000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8" authorId="0" shapeId="0" xr:uid="{00000000-0006-0000-0000-00000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N8" authorId="0" shapeId="0" xr:uid="{71E5B158-9440-4C28-8C1B-0C7787A9FA3E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9" authorId="0" shapeId="0" xr:uid="{00000000-0006-0000-0000-00000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9" authorId="0" shapeId="0" xr:uid="{00000000-0006-0000-0000-00000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9" authorId="0" shapeId="0" xr:uid="{00000000-0006-0000-0000-00000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N9" authorId="0" shapeId="0" xr:uid="{B235B778-9D41-47ED-ABB8-B467668BD05C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10" authorId="0" shapeId="0" xr:uid="{00000000-0006-0000-0000-00000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10" authorId="0" shapeId="0" xr:uid="{00000000-0006-0000-0000-00000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10" authorId="0" shapeId="0" xr:uid="{00000000-0006-0000-0000-000010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N10" authorId="0" shapeId="0" xr:uid="{96EA06EA-C04E-490D-8D05-B0C0B8CF90DC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11" authorId="0" shapeId="0" xr:uid="{00000000-0006-0000-0000-00001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11" authorId="0" shapeId="0" xr:uid="{00000000-0006-0000-0000-00001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11" authorId="0" shapeId="0" xr:uid="{00000000-0006-0000-0000-00001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N11" authorId="0" shapeId="0" xr:uid="{033269C4-E327-4DE4-A37C-31D83AAE7EFA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12" authorId="0" shapeId="0" xr:uid="{00000000-0006-0000-0000-00001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12" authorId="0" shapeId="0" xr:uid="{00000000-0006-0000-0000-00001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12" authorId="0" shapeId="0" xr:uid="{00000000-0006-0000-0000-00001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N12" authorId="0" shapeId="0" xr:uid="{18F46D6F-4ED4-4299-9895-D12FE2FDA059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13" authorId="0" shapeId="0" xr:uid="{00000000-0006-0000-0000-00001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13" authorId="0" shapeId="0" xr:uid="{00000000-0006-0000-0000-00001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13" authorId="0" shapeId="0" xr:uid="{00000000-0006-0000-0000-00001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N13" authorId="0" shapeId="0" xr:uid="{00000000-0006-0000-0000-00001D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21" authorId="0" shapeId="0" xr:uid="{00000000-0006-0000-0000-00001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21" authorId="0" shapeId="0" xr:uid="{00000000-0006-0000-0000-00001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21" authorId="0" shapeId="0" xr:uid="{00000000-0006-0000-0000-000020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N21" authorId="0" shapeId="0" xr:uid="{00000000-0006-0000-0000-00002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22" authorId="0" shapeId="0" xr:uid="{00000000-0006-0000-0000-00002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22" authorId="0" shapeId="0" xr:uid="{00000000-0006-0000-0000-00002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22" authorId="0" shapeId="0" xr:uid="{00000000-0006-0000-0000-00002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N22" authorId="0" shapeId="0" xr:uid="{00000000-0006-0000-0000-00002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23" authorId="0" shapeId="0" xr:uid="{00000000-0006-0000-0000-00002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23" authorId="0" shapeId="0" xr:uid="{00000000-0006-0000-0000-00002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23" authorId="0" shapeId="0" xr:uid="{00000000-0006-0000-0000-00002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N23" authorId="0" shapeId="0" xr:uid="{00000000-0006-0000-0000-000029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24" authorId="0" shapeId="0" xr:uid="{00000000-0006-0000-0000-00002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24" authorId="0" shapeId="0" xr:uid="{00000000-0006-0000-0000-00002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24" authorId="0" shapeId="0" xr:uid="{00000000-0006-0000-0000-00002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N24" authorId="0" shapeId="0" xr:uid="{00000000-0006-0000-0000-00002D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25" authorId="0" shapeId="0" xr:uid="{00000000-0006-0000-0000-00002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25" authorId="0" shapeId="0" xr:uid="{00000000-0006-0000-0000-00002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25" authorId="0" shapeId="0" xr:uid="{00000000-0006-0000-0000-000030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N25" authorId="0" shapeId="0" xr:uid="{00000000-0006-0000-0000-00003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26" authorId="0" shapeId="0" xr:uid="{00000000-0006-0000-0000-00003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26" authorId="0" shapeId="0" xr:uid="{00000000-0006-0000-0000-00003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26" authorId="0" shapeId="0" xr:uid="{00000000-0006-0000-0000-00003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N26" authorId="0" shapeId="0" xr:uid="{00000000-0006-0000-0000-00003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27" authorId="0" shapeId="0" xr:uid="{00000000-0006-0000-0000-00003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27" authorId="0" shapeId="0" xr:uid="{00000000-0006-0000-0000-00003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27" authorId="0" shapeId="0" xr:uid="{00000000-0006-0000-0000-00003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N27" authorId="0" shapeId="0" xr:uid="{00000000-0006-0000-0000-000039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WARTEL Thierry</author>
  </authors>
  <commentList>
    <comment ref="F4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4" authorId="0" shapeId="0" xr:uid="{00000000-0006-0000-0100-00000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4" authorId="0" shapeId="0" xr:uid="{00000000-0006-0000-0100-00000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4" authorId="0" shapeId="0" xr:uid="{00000000-0006-0000-0100-00000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W4" authorId="0" shapeId="0" xr:uid="{00000000-0006-0000-0100-00000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Y4" authorId="0" shapeId="0" xr:uid="{00000000-0006-0000-0100-00000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A4" authorId="0" shapeId="0" xr:uid="{00000000-0006-0000-0100-00000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C4" authorId="0" shapeId="0" xr:uid="{00000000-0006-0000-0100-00000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N4" authorId="0" shapeId="0" xr:uid="{00000000-0006-0000-0100-000009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P4" authorId="0" shapeId="0" xr:uid="{00000000-0006-0000-0100-00000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R4" authorId="0" shapeId="0" xr:uid="{00000000-0006-0000-0100-00000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T4" authorId="0" shapeId="0" xr:uid="{00000000-0006-0000-0100-00000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E4" authorId="0" shapeId="0" xr:uid="{00000000-0006-0000-0100-00000D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G4" authorId="0" shapeId="0" xr:uid="{00000000-0006-0000-0100-00000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I4" authorId="0" shapeId="0" xr:uid="{00000000-0006-0000-0100-00000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K4" authorId="0" shapeId="0" xr:uid="{00000000-0006-0000-0100-000010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V4" authorId="0" shapeId="0" xr:uid="{00000000-0006-0000-0100-00001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X4" authorId="0" shapeId="0" xr:uid="{00000000-0006-0000-0100-00001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Z4" authorId="0" shapeId="0" xr:uid="{00000000-0006-0000-0100-00001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B4" authorId="0" shapeId="0" xr:uid="{00000000-0006-0000-0100-00001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M4" authorId="0" shapeId="0" xr:uid="{00000000-0006-0000-0100-00001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O4" authorId="0" shapeId="0" xr:uid="{00000000-0006-0000-0100-00001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Q4" authorId="0" shapeId="0" xr:uid="{00000000-0006-0000-0100-00001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S4" authorId="0" shapeId="0" xr:uid="{00000000-0006-0000-0100-00001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F5" authorId="0" shapeId="0" xr:uid="{00000000-0006-0000-0100-000019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5" authorId="0" shapeId="0" xr:uid="{00000000-0006-0000-0100-00001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5" authorId="0" shapeId="0" xr:uid="{00000000-0006-0000-0100-00001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5" authorId="0" shapeId="0" xr:uid="{00000000-0006-0000-0100-00001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W5" authorId="0" shapeId="0" xr:uid="{00000000-0006-0000-0100-00001D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Y5" authorId="0" shapeId="0" xr:uid="{00000000-0006-0000-0100-00001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A5" authorId="0" shapeId="0" xr:uid="{00000000-0006-0000-0100-00001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C5" authorId="0" shapeId="0" xr:uid="{00000000-0006-0000-0100-000020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N5" authorId="0" shapeId="0" xr:uid="{00000000-0006-0000-0100-00002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P5" authorId="0" shapeId="0" xr:uid="{00000000-0006-0000-0100-00002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R5" authorId="0" shapeId="0" xr:uid="{00000000-0006-0000-0100-00002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T5" authorId="0" shapeId="0" xr:uid="{00000000-0006-0000-0100-00002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E5" authorId="0" shapeId="0" xr:uid="{00000000-0006-0000-0100-00002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G5" authorId="0" shapeId="0" xr:uid="{00000000-0006-0000-0100-00002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I5" authorId="0" shapeId="0" xr:uid="{00000000-0006-0000-0100-00002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K5" authorId="0" shapeId="0" xr:uid="{00000000-0006-0000-0100-00002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V5" authorId="0" shapeId="0" xr:uid="{00000000-0006-0000-0100-000029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X5" authorId="0" shapeId="0" xr:uid="{00000000-0006-0000-0100-00002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Z5" authorId="0" shapeId="0" xr:uid="{00000000-0006-0000-0100-00002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B5" authorId="0" shapeId="0" xr:uid="{00000000-0006-0000-0100-00002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M5" authorId="0" shapeId="0" xr:uid="{00000000-0006-0000-0100-00002D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O5" authorId="0" shapeId="0" xr:uid="{00000000-0006-0000-0100-00002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Q5" authorId="0" shapeId="0" xr:uid="{00000000-0006-0000-0100-00002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S5" authorId="0" shapeId="0" xr:uid="{00000000-0006-0000-0100-000030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F6" authorId="0" shapeId="0" xr:uid="{00000000-0006-0000-0100-00003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6" authorId="0" shapeId="0" xr:uid="{00000000-0006-0000-0100-00003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6" authorId="0" shapeId="0" xr:uid="{00000000-0006-0000-0100-00003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6" authorId="0" shapeId="0" xr:uid="{00000000-0006-0000-0100-00003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W6" authorId="0" shapeId="0" xr:uid="{00000000-0006-0000-0100-00003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Y6" authorId="0" shapeId="0" xr:uid="{00000000-0006-0000-0100-00003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A6" authorId="0" shapeId="0" xr:uid="{00000000-0006-0000-0100-00003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C6" authorId="0" shapeId="0" xr:uid="{00000000-0006-0000-0100-00003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N6" authorId="0" shapeId="0" xr:uid="{00000000-0006-0000-0100-000039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P6" authorId="0" shapeId="0" xr:uid="{00000000-0006-0000-0100-00003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R6" authorId="0" shapeId="0" xr:uid="{00000000-0006-0000-0100-00003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T6" authorId="0" shapeId="0" xr:uid="{00000000-0006-0000-0100-00003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E6" authorId="0" shapeId="0" xr:uid="{00000000-0006-0000-0100-00003D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G6" authorId="0" shapeId="0" xr:uid="{00000000-0006-0000-0100-00003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I6" authorId="0" shapeId="0" xr:uid="{00000000-0006-0000-0100-00003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K6" authorId="0" shapeId="0" xr:uid="{00000000-0006-0000-0100-000040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V6" authorId="0" shapeId="0" xr:uid="{00000000-0006-0000-0100-00004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X6" authorId="0" shapeId="0" xr:uid="{00000000-0006-0000-0100-00004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Z6" authorId="0" shapeId="0" xr:uid="{00000000-0006-0000-0100-00004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B6" authorId="0" shapeId="0" xr:uid="{00000000-0006-0000-0100-00004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M6" authorId="0" shapeId="0" xr:uid="{00000000-0006-0000-0100-00004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O6" authorId="0" shapeId="0" xr:uid="{00000000-0006-0000-0100-00004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Q6" authorId="0" shapeId="0" xr:uid="{00000000-0006-0000-0100-00004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S6" authorId="0" shapeId="0" xr:uid="{00000000-0006-0000-0100-00004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F7" authorId="0" shapeId="0" xr:uid="{00000000-0006-0000-0100-000049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7" authorId="0" shapeId="0" xr:uid="{00000000-0006-0000-0100-00004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7" authorId="0" shapeId="0" xr:uid="{00000000-0006-0000-0100-00004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7" authorId="0" shapeId="0" xr:uid="{00000000-0006-0000-0100-00004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W7" authorId="0" shapeId="0" xr:uid="{00000000-0006-0000-0100-00004D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Y7" authorId="0" shapeId="0" xr:uid="{00000000-0006-0000-0100-00004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A7" authorId="0" shapeId="0" xr:uid="{00000000-0006-0000-0100-00004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C7" authorId="0" shapeId="0" xr:uid="{00000000-0006-0000-0100-000050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N7" authorId="0" shapeId="0" xr:uid="{00000000-0006-0000-0100-00005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P7" authorId="0" shapeId="0" xr:uid="{00000000-0006-0000-0100-00005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R7" authorId="0" shapeId="0" xr:uid="{00000000-0006-0000-0100-00005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T7" authorId="0" shapeId="0" xr:uid="{00000000-0006-0000-0100-00005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E7" authorId="0" shapeId="0" xr:uid="{00000000-0006-0000-0100-00005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G7" authorId="0" shapeId="0" xr:uid="{00000000-0006-0000-0100-00005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I7" authorId="0" shapeId="0" xr:uid="{00000000-0006-0000-0100-00005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K7" authorId="0" shapeId="0" xr:uid="{00000000-0006-0000-0100-00005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V7" authorId="0" shapeId="0" xr:uid="{00000000-0006-0000-0100-000059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X7" authorId="0" shapeId="0" xr:uid="{00000000-0006-0000-0100-00005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Z7" authorId="0" shapeId="0" xr:uid="{00000000-0006-0000-0100-00005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B7" authorId="0" shapeId="0" xr:uid="{00000000-0006-0000-0100-00005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M7" authorId="0" shapeId="0" xr:uid="{00000000-0006-0000-0100-00005D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O7" authorId="0" shapeId="0" xr:uid="{00000000-0006-0000-0100-00005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Q7" authorId="0" shapeId="0" xr:uid="{00000000-0006-0000-0100-00005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S7" authorId="0" shapeId="0" xr:uid="{00000000-0006-0000-0100-000060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F8" authorId="0" shapeId="0" xr:uid="{00000000-0006-0000-0100-00006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8" authorId="0" shapeId="0" xr:uid="{00000000-0006-0000-0100-00006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8" authorId="0" shapeId="0" xr:uid="{00000000-0006-0000-0100-00006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8" authorId="0" shapeId="0" xr:uid="{00000000-0006-0000-0100-00006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W8" authorId="0" shapeId="0" xr:uid="{00000000-0006-0000-0100-00006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Y8" authorId="0" shapeId="0" xr:uid="{00000000-0006-0000-0100-00006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A8" authorId="0" shapeId="0" xr:uid="{00000000-0006-0000-0100-00006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C8" authorId="0" shapeId="0" xr:uid="{00000000-0006-0000-0100-00006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N8" authorId="0" shapeId="0" xr:uid="{00000000-0006-0000-0100-000069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P8" authorId="0" shapeId="0" xr:uid="{00000000-0006-0000-0100-00006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R8" authorId="0" shapeId="0" xr:uid="{00000000-0006-0000-0100-00006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T8" authorId="0" shapeId="0" xr:uid="{00000000-0006-0000-0100-00006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E8" authorId="0" shapeId="0" xr:uid="{00000000-0006-0000-0100-00006D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G8" authorId="0" shapeId="0" xr:uid="{00000000-0006-0000-0100-00006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I8" authorId="0" shapeId="0" xr:uid="{00000000-0006-0000-0100-00006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K8" authorId="0" shapeId="0" xr:uid="{00000000-0006-0000-0100-000070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V8" authorId="0" shapeId="0" xr:uid="{00000000-0006-0000-0100-00007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X8" authorId="0" shapeId="0" xr:uid="{00000000-0006-0000-0100-00007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Z8" authorId="0" shapeId="0" xr:uid="{00000000-0006-0000-0100-00007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B8" authorId="0" shapeId="0" xr:uid="{00000000-0006-0000-0100-00007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M8" authorId="0" shapeId="0" xr:uid="{00000000-0006-0000-0100-00007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O8" authorId="0" shapeId="0" xr:uid="{00000000-0006-0000-0100-00007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Q8" authorId="0" shapeId="0" xr:uid="{00000000-0006-0000-0100-00007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S8" authorId="0" shapeId="0" xr:uid="{00000000-0006-0000-0100-00007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F9" authorId="0" shapeId="0" xr:uid="{00000000-0006-0000-0100-000079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9" authorId="0" shapeId="0" xr:uid="{00000000-0006-0000-0100-00007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9" authorId="0" shapeId="0" xr:uid="{00000000-0006-0000-0100-00007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9" authorId="0" shapeId="0" xr:uid="{00000000-0006-0000-0100-00007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W9" authorId="0" shapeId="0" xr:uid="{00000000-0006-0000-0100-00007D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Y9" authorId="0" shapeId="0" xr:uid="{00000000-0006-0000-0100-00007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A9" authorId="0" shapeId="0" xr:uid="{00000000-0006-0000-0100-00007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C9" authorId="0" shapeId="0" xr:uid="{00000000-0006-0000-0100-000080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N9" authorId="0" shapeId="0" xr:uid="{00000000-0006-0000-0100-00008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P9" authorId="0" shapeId="0" xr:uid="{00000000-0006-0000-0100-00008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R9" authorId="0" shapeId="0" xr:uid="{00000000-0006-0000-0100-00008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T9" authorId="0" shapeId="0" xr:uid="{00000000-0006-0000-0100-00008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E9" authorId="0" shapeId="0" xr:uid="{00000000-0006-0000-0100-00008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G9" authorId="0" shapeId="0" xr:uid="{00000000-0006-0000-0100-00008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I9" authorId="0" shapeId="0" xr:uid="{00000000-0006-0000-0100-00008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K9" authorId="0" shapeId="0" xr:uid="{00000000-0006-0000-0100-00008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V9" authorId="0" shapeId="0" xr:uid="{00000000-0006-0000-0100-000089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X9" authorId="0" shapeId="0" xr:uid="{00000000-0006-0000-0100-00008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Z9" authorId="0" shapeId="0" xr:uid="{00000000-0006-0000-0100-00008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B9" authorId="0" shapeId="0" xr:uid="{00000000-0006-0000-0100-00008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M9" authorId="0" shapeId="0" xr:uid="{00000000-0006-0000-0100-00008D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O9" authorId="0" shapeId="0" xr:uid="{00000000-0006-0000-0100-00008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Q9" authorId="0" shapeId="0" xr:uid="{00000000-0006-0000-0100-00008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S9" authorId="0" shapeId="0" xr:uid="{00000000-0006-0000-0100-000090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F10" authorId="0" shapeId="0" xr:uid="{00000000-0006-0000-0100-00009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10" authorId="0" shapeId="0" xr:uid="{00000000-0006-0000-0100-00009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10" authorId="0" shapeId="0" xr:uid="{00000000-0006-0000-0100-00009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10" authorId="0" shapeId="0" xr:uid="{00000000-0006-0000-0100-00009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W10" authorId="0" shapeId="0" xr:uid="{00000000-0006-0000-0100-00009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Y10" authorId="0" shapeId="0" xr:uid="{00000000-0006-0000-0100-00009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A10" authorId="0" shapeId="0" xr:uid="{00000000-0006-0000-0100-00009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C10" authorId="0" shapeId="0" xr:uid="{00000000-0006-0000-0100-00009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N10" authorId="0" shapeId="0" xr:uid="{00000000-0006-0000-0100-000099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P10" authorId="0" shapeId="0" xr:uid="{00000000-0006-0000-0100-00009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R10" authorId="0" shapeId="0" xr:uid="{00000000-0006-0000-0100-00009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T10" authorId="0" shapeId="0" xr:uid="{00000000-0006-0000-0100-00009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E10" authorId="0" shapeId="0" xr:uid="{00000000-0006-0000-0100-00009D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G10" authorId="0" shapeId="0" xr:uid="{00000000-0006-0000-0100-00009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I10" authorId="0" shapeId="0" xr:uid="{00000000-0006-0000-0100-00009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K10" authorId="0" shapeId="0" xr:uid="{00000000-0006-0000-0100-0000A0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V10" authorId="0" shapeId="0" xr:uid="{00000000-0006-0000-0100-0000A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X10" authorId="0" shapeId="0" xr:uid="{00000000-0006-0000-0100-0000A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Z10" authorId="0" shapeId="0" xr:uid="{00000000-0006-0000-0100-0000A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B10" authorId="0" shapeId="0" xr:uid="{00000000-0006-0000-0100-0000A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M10" authorId="0" shapeId="0" xr:uid="{00000000-0006-0000-0100-0000A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O10" authorId="0" shapeId="0" xr:uid="{00000000-0006-0000-0100-0000A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Q10" authorId="0" shapeId="0" xr:uid="{00000000-0006-0000-0100-0000A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S10" authorId="0" shapeId="0" xr:uid="{00000000-0006-0000-0100-0000A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F16" authorId="0" shapeId="0" xr:uid="{00000000-0006-0000-0100-0000A9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16" authorId="0" shapeId="0" xr:uid="{00000000-0006-0000-0100-0000A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16" authorId="0" shapeId="0" xr:uid="{00000000-0006-0000-0100-0000A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16" authorId="0" shapeId="0" xr:uid="{00000000-0006-0000-0100-0000A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W16" authorId="0" shapeId="0" xr:uid="{00000000-0006-0000-0100-0000AD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Y16" authorId="0" shapeId="0" xr:uid="{00000000-0006-0000-0100-0000A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A16" authorId="0" shapeId="0" xr:uid="{00000000-0006-0000-0100-0000A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C16" authorId="0" shapeId="0" xr:uid="{00000000-0006-0000-0100-0000B0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N16" authorId="0" shapeId="0" xr:uid="{00000000-0006-0000-0100-0000B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P16" authorId="0" shapeId="0" xr:uid="{00000000-0006-0000-0100-0000B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R16" authorId="0" shapeId="0" xr:uid="{00000000-0006-0000-0100-0000B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T16" authorId="0" shapeId="0" xr:uid="{00000000-0006-0000-0100-0000B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E16" authorId="0" shapeId="0" xr:uid="{00000000-0006-0000-0100-0000B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G16" authorId="0" shapeId="0" xr:uid="{00000000-0006-0000-0100-0000B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I16" authorId="0" shapeId="0" xr:uid="{00000000-0006-0000-0100-0000B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K16" authorId="0" shapeId="0" xr:uid="{00000000-0006-0000-0100-0000B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V16" authorId="0" shapeId="0" xr:uid="{00000000-0006-0000-0100-0000B9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X16" authorId="0" shapeId="0" xr:uid="{00000000-0006-0000-0100-0000B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Z16" authorId="0" shapeId="0" xr:uid="{00000000-0006-0000-0100-0000B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B16" authorId="0" shapeId="0" xr:uid="{00000000-0006-0000-0100-0000B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M16" authorId="0" shapeId="0" xr:uid="{00000000-0006-0000-0100-0000BD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O16" authorId="0" shapeId="0" xr:uid="{00000000-0006-0000-0100-0000B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Q16" authorId="0" shapeId="0" xr:uid="{00000000-0006-0000-0100-0000B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S16" authorId="0" shapeId="0" xr:uid="{00000000-0006-0000-0100-0000C0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F17" authorId="0" shapeId="0" xr:uid="{00000000-0006-0000-0100-0000C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17" authorId="0" shapeId="0" xr:uid="{00000000-0006-0000-0100-0000C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17" authorId="0" shapeId="0" xr:uid="{00000000-0006-0000-0100-0000C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17" authorId="0" shapeId="0" xr:uid="{00000000-0006-0000-0100-0000C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W17" authorId="0" shapeId="0" xr:uid="{00000000-0006-0000-0100-0000C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Y17" authorId="0" shapeId="0" xr:uid="{00000000-0006-0000-0100-0000C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A17" authorId="0" shapeId="0" xr:uid="{00000000-0006-0000-0100-0000C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C17" authorId="0" shapeId="0" xr:uid="{00000000-0006-0000-0100-0000C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N17" authorId="0" shapeId="0" xr:uid="{00000000-0006-0000-0100-0000C9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P17" authorId="0" shapeId="0" xr:uid="{00000000-0006-0000-0100-0000C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R17" authorId="0" shapeId="0" xr:uid="{00000000-0006-0000-0100-0000C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T17" authorId="0" shapeId="0" xr:uid="{00000000-0006-0000-0100-0000C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E17" authorId="0" shapeId="0" xr:uid="{00000000-0006-0000-0100-0000CD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G17" authorId="0" shapeId="0" xr:uid="{00000000-0006-0000-0100-0000C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I17" authorId="0" shapeId="0" xr:uid="{00000000-0006-0000-0100-0000C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K17" authorId="0" shapeId="0" xr:uid="{00000000-0006-0000-0100-0000D0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V17" authorId="0" shapeId="0" xr:uid="{00000000-0006-0000-0100-0000D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X17" authorId="0" shapeId="0" xr:uid="{00000000-0006-0000-0100-0000D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Z17" authorId="0" shapeId="0" xr:uid="{00000000-0006-0000-0100-0000D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B17" authorId="0" shapeId="0" xr:uid="{00000000-0006-0000-0100-0000D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M17" authorId="0" shapeId="0" xr:uid="{00000000-0006-0000-0100-0000D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O17" authorId="0" shapeId="0" xr:uid="{00000000-0006-0000-0100-0000D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Q17" authorId="0" shapeId="0" xr:uid="{00000000-0006-0000-0100-0000D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S17" authorId="0" shapeId="0" xr:uid="{00000000-0006-0000-0100-0000D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F18" authorId="0" shapeId="0" xr:uid="{00000000-0006-0000-0100-0000D9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18" authorId="0" shapeId="0" xr:uid="{00000000-0006-0000-0100-0000D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18" authorId="0" shapeId="0" xr:uid="{00000000-0006-0000-0100-0000D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18" authorId="0" shapeId="0" xr:uid="{00000000-0006-0000-0100-0000D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W18" authorId="0" shapeId="0" xr:uid="{00000000-0006-0000-0100-0000DD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Y18" authorId="0" shapeId="0" xr:uid="{00000000-0006-0000-0100-0000D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A18" authorId="0" shapeId="0" xr:uid="{00000000-0006-0000-0100-0000D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C18" authorId="0" shapeId="0" xr:uid="{00000000-0006-0000-0100-0000E0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N18" authorId="0" shapeId="0" xr:uid="{00000000-0006-0000-0100-0000E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P18" authorId="0" shapeId="0" xr:uid="{00000000-0006-0000-0100-0000E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R18" authorId="0" shapeId="0" xr:uid="{00000000-0006-0000-0100-0000E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T18" authorId="0" shapeId="0" xr:uid="{00000000-0006-0000-0100-0000E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E18" authorId="0" shapeId="0" xr:uid="{00000000-0006-0000-0100-0000E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G18" authorId="0" shapeId="0" xr:uid="{00000000-0006-0000-0100-0000E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I18" authorId="0" shapeId="0" xr:uid="{00000000-0006-0000-0100-0000E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K18" authorId="0" shapeId="0" xr:uid="{00000000-0006-0000-0100-0000E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V18" authorId="0" shapeId="0" xr:uid="{00000000-0006-0000-0100-0000E9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X18" authorId="0" shapeId="0" xr:uid="{00000000-0006-0000-0100-0000E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Z18" authorId="0" shapeId="0" xr:uid="{00000000-0006-0000-0100-0000E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B18" authorId="0" shapeId="0" xr:uid="{00000000-0006-0000-0100-0000E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M18" authorId="0" shapeId="0" xr:uid="{00000000-0006-0000-0100-0000ED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O18" authorId="0" shapeId="0" xr:uid="{00000000-0006-0000-0100-0000E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Q18" authorId="0" shapeId="0" xr:uid="{00000000-0006-0000-0100-0000E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S18" authorId="0" shapeId="0" xr:uid="{00000000-0006-0000-0100-0000F0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F19" authorId="0" shapeId="0" xr:uid="{00000000-0006-0000-0100-0000F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19" authorId="0" shapeId="0" xr:uid="{00000000-0006-0000-0100-0000F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19" authorId="0" shapeId="0" xr:uid="{00000000-0006-0000-0100-0000F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19" authorId="0" shapeId="0" xr:uid="{00000000-0006-0000-0100-0000F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W19" authorId="0" shapeId="0" xr:uid="{00000000-0006-0000-0100-0000F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Y19" authorId="0" shapeId="0" xr:uid="{00000000-0006-0000-0100-0000F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A19" authorId="0" shapeId="0" xr:uid="{00000000-0006-0000-0100-0000F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C19" authorId="0" shapeId="0" xr:uid="{00000000-0006-0000-0100-0000F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N19" authorId="0" shapeId="0" xr:uid="{00000000-0006-0000-0100-0000F9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P19" authorId="0" shapeId="0" xr:uid="{00000000-0006-0000-0100-0000F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R19" authorId="0" shapeId="0" xr:uid="{00000000-0006-0000-0100-0000F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T19" authorId="0" shapeId="0" xr:uid="{00000000-0006-0000-0100-0000F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E19" authorId="0" shapeId="0" xr:uid="{00000000-0006-0000-0100-0000FD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G19" authorId="0" shapeId="0" xr:uid="{00000000-0006-0000-0100-0000F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I19" authorId="0" shapeId="0" xr:uid="{00000000-0006-0000-0100-0000F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K19" authorId="0" shapeId="0" xr:uid="{00000000-0006-0000-0100-000000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V19" authorId="0" shapeId="0" xr:uid="{00000000-0006-0000-0100-000001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X19" authorId="0" shapeId="0" xr:uid="{00000000-0006-0000-0100-000002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Z19" authorId="0" shapeId="0" xr:uid="{00000000-0006-0000-0100-000003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B19" authorId="0" shapeId="0" xr:uid="{00000000-0006-0000-0100-000004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M19" authorId="0" shapeId="0" xr:uid="{00000000-0006-0000-0100-000005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O19" authorId="0" shapeId="0" xr:uid="{00000000-0006-0000-0100-000006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Q19" authorId="0" shapeId="0" xr:uid="{00000000-0006-0000-0100-000007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S19" authorId="0" shapeId="0" xr:uid="{00000000-0006-0000-0100-000008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F20" authorId="0" shapeId="0" xr:uid="{00000000-0006-0000-0100-000009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20" authorId="0" shapeId="0" xr:uid="{00000000-0006-0000-0100-00000A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20" authorId="0" shapeId="0" xr:uid="{00000000-0006-0000-0100-00000B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20" authorId="0" shapeId="0" xr:uid="{00000000-0006-0000-0100-00000C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W20" authorId="0" shapeId="0" xr:uid="{00000000-0006-0000-0100-00000D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Y20" authorId="0" shapeId="0" xr:uid="{00000000-0006-0000-0100-00000E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A20" authorId="0" shapeId="0" xr:uid="{00000000-0006-0000-0100-00000F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C20" authorId="0" shapeId="0" xr:uid="{00000000-0006-0000-0100-000010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N20" authorId="0" shapeId="0" xr:uid="{00000000-0006-0000-0100-000011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P20" authorId="0" shapeId="0" xr:uid="{00000000-0006-0000-0100-000012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R20" authorId="0" shapeId="0" xr:uid="{00000000-0006-0000-0100-000013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T20" authorId="0" shapeId="0" xr:uid="{00000000-0006-0000-0100-000014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E20" authorId="0" shapeId="0" xr:uid="{00000000-0006-0000-0100-000015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G20" authorId="0" shapeId="0" xr:uid="{00000000-0006-0000-0100-000016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I20" authorId="0" shapeId="0" xr:uid="{00000000-0006-0000-0100-000017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K20" authorId="0" shapeId="0" xr:uid="{00000000-0006-0000-0100-000018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V20" authorId="0" shapeId="0" xr:uid="{00000000-0006-0000-0100-000019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X20" authorId="0" shapeId="0" xr:uid="{00000000-0006-0000-0100-00001A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Z20" authorId="0" shapeId="0" xr:uid="{00000000-0006-0000-0100-00001B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B20" authorId="0" shapeId="0" xr:uid="{00000000-0006-0000-0100-00001C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M20" authorId="0" shapeId="0" xr:uid="{00000000-0006-0000-0100-00001D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O20" authorId="0" shapeId="0" xr:uid="{00000000-0006-0000-0100-00001E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Q20" authorId="0" shapeId="0" xr:uid="{00000000-0006-0000-0100-00001F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S20" authorId="0" shapeId="0" xr:uid="{00000000-0006-0000-0100-000020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F21" authorId="0" shapeId="0" xr:uid="{00000000-0006-0000-0100-000021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21" authorId="0" shapeId="0" xr:uid="{00000000-0006-0000-0100-000022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21" authorId="0" shapeId="0" xr:uid="{00000000-0006-0000-0100-000023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21" authorId="0" shapeId="0" xr:uid="{00000000-0006-0000-0100-000024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W21" authorId="0" shapeId="0" xr:uid="{00000000-0006-0000-0100-000025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Y21" authorId="0" shapeId="0" xr:uid="{00000000-0006-0000-0100-000026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A21" authorId="0" shapeId="0" xr:uid="{00000000-0006-0000-0100-000027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C21" authorId="0" shapeId="0" xr:uid="{00000000-0006-0000-0100-000028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N21" authorId="0" shapeId="0" xr:uid="{00000000-0006-0000-0100-000029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P21" authorId="0" shapeId="0" xr:uid="{00000000-0006-0000-0100-00002A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R21" authorId="0" shapeId="0" xr:uid="{00000000-0006-0000-0100-00002B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T21" authorId="0" shapeId="0" xr:uid="{00000000-0006-0000-0100-00002C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E21" authorId="0" shapeId="0" xr:uid="{00000000-0006-0000-0100-00002D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G21" authorId="0" shapeId="0" xr:uid="{00000000-0006-0000-0100-00002E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I21" authorId="0" shapeId="0" xr:uid="{00000000-0006-0000-0100-00002F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K21" authorId="0" shapeId="0" xr:uid="{00000000-0006-0000-0100-000030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V21" authorId="0" shapeId="0" xr:uid="{00000000-0006-0000-0100-000031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X21" authorId="0" shapeId="0" xr:uid="{00000000-0006-0000-0100-000032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Z21" authorId="0" shapeId="0" xr:uid="{00000000-0006-0000-0100-000033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B21" authorId="0" shapeId="0" xr:uid="{00000000-0006-0000-0100-000034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M21" authorId="0" shapeId="0" xr:uid="{00000000-0006-0000-0100-000035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O21" authorId="0" shapeId="0" xr:uid="{00000000-0006-0000-0100-000036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Q21" authorId="0" shapeId="0" xr:uid="{00000000-0006-0000-0100-000037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S21" authorId="0" shapeId="0" xr:uid="{00000000-0006-0000-0100-000038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F22" authorId="0" shapeId="0" xr:uid="{00000000-0006-0000-0100-000039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H22" authorId="0" shapeId="0" xr:uid="{00000000-0006-0000-0100-00003A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J22" authorId="0" shapeId="0" xr:uid="{00000000-0006-0000-0100-00003B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L22" authorId="0" shapeId="0" xr:uid="{00000000-0006-0000-0100-00003C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W22" authorId="0" shapeId="0" xr:uid="{00000000-0006-0000-0100-00003D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Y22" authorId="0" shapeId="0" xr:uid="{00000000-0006-0000-0100-00003E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A22" authorId="0" shapeId="0" xr:uid="{00000000-0006-0000-0100-00003F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C22" authorId="0" shapeId="0" xr:uid="{00000000-0006-0000-0100-000040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N22" authorId="0" shapeId="0" xr:uid="{00000000-0006-0000-0100-000041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P22" authorId="0" shapeId="0" xr:uid="{00000000-0006-0000-0100-000042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R22" authorId="0" shapeId="0" xr:uid="{00000000-0006-0000-0100-000043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T22" authorId="0" shapeId="0" xr:uid="{00000000-0006-0000-0100-000044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E22" authorId="0" shapeId="0" xr:uid="{00000000-0006-0000-0100-000045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G22" authorId="0" shapeId="0" xr:uid="{00000000-0006-0000-0100-000046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I22" authorId="0" shapeId="0" xr:uid="{00000000-0006-0000-0100-000047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K22" authorId="0" shapeId="0" xr:uid="{00000000-0006-0000-0100-000048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V22" authorId="0" shapeId="0" xr:uid="{00000000-0006-0000-0100-000049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X22" authorId="0" shapeId="0" xr:uid="{00000000-0006-0000-0100-00004A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BZ22" authorId="0" shapeId="0" xr:uid="{00000000-0006-0000-0100-00004B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B22" authorId="0" shapeId="0" xr:uid="{00000000-0006-0000-0100-00004C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M22" authorId="0" shapeId="0" xr:uid="{00000000-0006-0000-0100-00004D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O22" authorId="0" shapeId="0" xr:uid="{00000000-0006-0000-0100-00004E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Q22" authorId="0" shapeId="0" xr:uid="{00000000-0006-0000-0100-00004F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S22" authorId="0" shapeId="0" xr:uid="{00000000-0006-0000-0100-00005001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WARTEL Thierry</author>
  </authors>
  <commentList>
    <comment ref="M7" authorId="0" shapeId="0" xr:uid="{00000000-0006-0000-0200-00000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O7" authorId="0" shapeId="0" xr:uid="{00000000-0006-0000-0200-00000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Q7" authorId="0" shapeId="0" xr:uid="{00000000-0006-0000-0200-00000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S7" authorId="0" shapeId="0" xr:uid="{00000000-0006-0000-0200-00000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M8" authorId="0" shapeId="0" xr:uid="{00000000-0006-0000-0200-00000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O8" authorId="0" shapeId="0" xr:uid="{00000000-0006-0000-0200-00000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Q8" authorId="0" shapeId="0" xr:uid="{00000000-0006-0000-0200-00000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S8" authorId="0" shapeId="0" xr:uid="{00000000-0006-0000-0200-00000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M9" authorId="0" shapeId="0" xr:uid="{00000000-0006-0000-0200-000009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O9" authorId="0" shapeId="0" xr:uid="{00000000-0006-0000-0200-00000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Q9" authorId="0" shapeId="0" xr:uid="{00000000-0006-0000-0200-00000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S9" authorId="0" shapeId="0" xr:uid="{00000000-0006-0000-0200-00000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M10" authorId="0" shapeId="0" xr:uid="{00000000-0006-0000-0200-00000D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O10" authorId="0" shapeId="0" xr:uid="{00000000-0006-0000-0200-00000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Q10" authorId="0" shapeId="0" xr:uid="{00000000-0006-0000-0200-00000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S10" authorId="0" shapeId="0" xr:uid="{00000000-0006-0000-0200-000010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M11" authorId="0" shapeId="0" xr:uid="{00000000-0006-0000-0200-00001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O11" authorId="0" shapeId="0" xr:uid="{00000000-0006-0000-0200-00001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Q11" authorId="0" shapeId="0" xr:uid="{00000000-0006-0000-0200-00001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S11" authorId="0" shapeId="0" xr:uid="{00000000-0006-0000-0200-00001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M12" authorId="0" shapeId="0" xr:uid="{00000000-0006-0000-0200-00001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O12" authorId="0" shapeId="0" xr:uid="{00000000-0006-0000-0200-00001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Q12" authorId="0" shapeId="0" xr:uid="{00000000-0006-0000-0200-00001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S12" authorId="0" shapeId="0" xr:uid="{00000000-0006-0000-0200-00001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M13" authorId="0" shapeId="0" xr:uid="{00000000-0006-0000-0200-000019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O13" authorId="0" shapeId="0" xr:uid="{00000000-0006-0000-0200-00001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Q13" authorId="0" shapeId="0" xr:uid="{00000000-0006-0000-0200-00001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S13" authorId="0" shapeId="0" xr:uid="{00000000-0006-0000-0200-00001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O19" authorId="0" shapeId="0" xr:uid="{00000000-0006-0000-0200-00001D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Q19" authorId="0" shapeId="0" xr:uid="{00000000-0006-0000-0200-00001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Z19" authorId="0" shapeId="0" xr:uid="{00000000-0006-0000-0200-00001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B19" authorId="0" shapeId="0" xr:uid="{00000000-0006-0000-0200-000020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K19" authorId="0" shapeId="0" xr:uid="{00000000-0006-0000-0200-00002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M19" authorId="0" shapeId="0" xr:uid="{00000000-0006-0000-0200-00002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O20" authorId="0" shapeId="0" xr:uid="{00000000-0006-0000-0200-00002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Q20" authorId="0" shapeId="0" xr:uid="{00000000-0006-0000-0200-00002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Z20" authorId="0" shapeId="0" xr:uid="{00000000-0006-0000-0200-00002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B20" authorId="0" shapeId="0" xr:uid="{00000000-0006-0000-0200-00002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K20" authorId="0" shapeId="0" xr:uid="{00000000-0006-0000-0200-00002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M20" authorId="0" shapeId="0" xr:uid="{00000000-0006-0000-0200-00002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O21" authorId="0" shapeId="0" xr:uid="{00000000-0006-0000-0200-000029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Q21" authorId="0" shapeId="0" xr:uid="{00000000-0006-0000-0200-00002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Z21" authorId="0" shapeId="0" xr:uid="{00000000-0006-0000-0200-00002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B21" authorId="0" shapeId="0" xr:uid="{00000000-0006-0000-0200-00002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K21" authorId="0" shapeId="0" xr:uid="{00000000-0006-0000-0200-00002D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M21" authorId="0" shapeId="0" xr:uid="{00000000-0006-0000-0200-00002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O22" authorId="0" shapeId="0" xr:uid="{00000000-0006-0000-0200-00002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Q22" authorId="0" shapeId="0" xr:uid="{00000000-0006-0000-0200-000030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Z22" authorId="0" shapeId="0" xr:uid="{00000000-0006-0000-0200-00003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B22" authorId="0" shapeId="0" xr:uid="{00000000-0006-0000-0200-00003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K22" authorId="0" shapeId="0" xr:uid="{00000000-0006-0000-0200-00003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M22" authorId="0" shapeId="0" xr:uid="{00000000-0006-0000-0200-00003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O23" authorId="0" shapeId="0" xr:uid="{00000000-0006-0000-0200-00003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Q23" authorId="0" shapeId="0" xr:uid="{00000000-0006-0000-0200-00003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Z23" authorId="0" shapeId="0" xr:uid="{00000000-0006-0000-0200-000037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B23" authorId="0" shapeId="0" xr:uid="{00000000-0006-0000-0200-000038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K23" authorId="0" shapeId="0" xr:uid="{00000000-0006-0000-0200-000039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M23" authorId="0" shapeId="0" xr:uid="{00000000-0006-0000-0200-00003A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O24" authorId="0" shapeId="0" xr:uid="{00000000-0006-0000-0200-00003B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Q24" authorId="0" shapeId="0" xr:uid="{00000000-0006-0000-0200-00003C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Z24" authorId="0" shapeId="0" xr:uid="{00000000-0006-0000-0200-00003D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B24" authorId="0" shapeId="0" xr:uid="{00000000-0006-0000-0200-00003E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K24" authorId="0" shapeId="0" xr:uid="{00000000-0006-0000-0200-00003F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M24" authorId="0" shapeId="0" xr:uid="{00000000-0006-0000-0200-000040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O25" authorId="0" shapeId="0" xr:uid="{00000000-0006-0000-0200-000041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Q25" authorId="0" shapeId="0" xr:uid="{00000000-0006-0000-0200-000042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Z25" authorId="0" shapeId="0" xr:uid="{00000000-0006-0000-0200-000043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B25" authorId="0" shapeId="0" xr:uid="{00000000-0006-0000-0200-000044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K25" authorId="0" shapeId="0" xr:uid="{00000000-0006-0000-0200-000045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AM25" authorId="0" shapeId="0" xr:uid="{00000000-0006-0000-0200-000046000000}">
      <text>
        <r>
          <rPr>
            <sz val="9"/>
            <color indexed="81"/>
            <rFont val="Tahoma"/>
            <family val="2"/>
          </rPr>
          <t xml:space="preserve">Les horaires se renseignent en hh:mm (exemple : 14h35 se saisit en 14:35)
</t>
        </r>
      </text>
    </comment>
    <comment ref="C29" authorId="0" shapeId="0" xr:uid="{00000000-0006-0000-0200-000047000000}">
      <text>
        <r>
          <rPr>
            <sz val="9"/>
            <color indexed="81"/>
            <rFont val="Tahoma"/>
            <family val="2"/>
          </rPr>
          <t xml:space="preserve">Pour aller à la ligne dans cette grande cellule, appuyer simultannément sur les touches "Alt" et "Entrée" du clavier
</t>
        </r>
      </text>
    </comment>
  </commentList>
</comments>
</file>

<file path=xl/sharedStrings.xml><?xml version="1.0" encoding="utf-8"?>
<sst xmlns="http://schemas.openxmlformats.org/spreadsheetml/2006/main" count="513" uniqueCount="139">
  <si>
    <t>AM 
Début</t>
  </si>
  <si>
    <t>AM 
Fin</t>
  </si>
  <si>
    <t>PM 
Début</t>
  </si>
  <si>
    <t>PM 
Fin</t>
  </si>
  <si>
    <t>Lundi</t>
  </si>
  <si>
    <t>Mardi</t>
  </si>
  <si>
    <t>Mercredi</t>
  </si>
  <si>
    <t>Jeudi</t>
  </si>
  <si>
    <t>Vendredi</t>
  </si>
  <si>
    <t>Samedi</t>
  </si>
  <si>
    <t>Dimanche</t>
  </si>
  <si>
    <t>Total</t>
  </si>
  <si>
    <t>Par jour</t>
  </si>
  <si>
    <t>Par semaine</t>
  </si>
  <si>
    <t>Heures Supp (&lt;8h)</t>
  </si>
  <si>
    <t>Heures supp (&gt;8h)</t>
  </si>
  <si>
    <t>Max Légal</t>
  </si>
  <si>
    <t>Heures / Sem</t>
  </si>
  <si>
    <t>Férié</t>
  </si>
  <si>
    <t>Oui</t>
  </si>
  <si>
    <t>Jour férié</t>
  </si>
  <si>
    <t>Non</t>
  </si>
  <si>
    <t>Heures nuit</t>
  </si>
  <si>
    <t>Avant</t>
  </si>
  <si>
    <t>Après</t>
  </si>
  <si>
    <t>Le Collaborateur</t>
  </si>
  <si>
    <t>Le Responsable Hiérarchique</t>
  </si>
  <si>
    <t>Visa</t>
  </si>
  <si>
    <t xml:space="preserve">    </t>
  </si>
  <si>
    <t>Semaine du :</t>
  </si>
  <si>
    <t>au</t>
  </si>
  <si>
    <t>Semaine :</t>
  </si>
  <si>
    <t>Nom</t>
  </si>
  <si>
    <t>ASTREINTE</t>
  </si>
  <si>
    <t>UBA</t>
  </si>
  <si>
    <t>Début</t>
  </si>
  <si>
    <t>Fin</t>
  </si>
  <si>
    <t>Astreinte</t>
  </si>
  <si>
    <t>UBA (Unité Base Astreinte)</t>
  </si>
  <si>
    <t>Lundi au Vendredi</t>
  </si>
  <si>
    <t>Jour férie</t>
  </si>
  <si>
    <t>Commentaire</t>
  </si>
  <si>
    <t>Astreinte au Domicile</t>
  </si>
  <si>
    <t>Astreinte hors Domicile</t>
  </si>
  <si>
    <t>A domicile</t>
  </si>
  <si>
    <t>Hors domicile</t>
  </si>
  <si>
    <t>Heures</t>
  </si>
  <si>
    <t>Minutes</t>
  </si>
  <si>
    <t>Intervention (lors d'astreinte)</t>
  </si>
  <si>
    <t>Heures Supplémentaires</t>
  </si>
  <si>
    <t>Comptabilisées par semaine</t>
  </si>
  <si>
    <t>Feuille de Temps Hebdomadaire - Technicien Intervention sur Site</t>
  </si>
  <si>
    <t>Jour</t>
  </si>
  <si>
    <r>
      <rPr>
        <b/>
        <sz val="8"/>
        <color theme="0"/>
        <rFont val="Arial"/>
        <family val="2"/>
      </rPr>
      <t xml:space="preserve">Relevé </t>
    </r>
    <r>
      <rPr>
        <b/>
        <sz val="6"/>
        <color theme="9"/>
        <rFont val="Arial"/>
        <family val="2"/>
      </rPr>
      <t>(Si pas travaillé NE PAS renseigner la ligne)</t>
    </r>
  </si>
  <si>
    <t>HEURES DE TRAVAIL</t>
  </si>
  <si>
    <t>HEURES DE TRAJET</t>
  </si>
  <si>
    <r>
      <rPr>
        <b/>
        <sz val="8"/>
        <color theme="0"/>
        <rFont val="Arial"/>
        <family val="2"/>
      </rPr>
      <t xml:space="preserve">Relevé </t>
    </r>
    <r>
      <rPr>
        <b/>
        <sz val="6"/>
        <color theme="9"/>
        <rFont val="Arial"/>
        <family val="2"/>
      </rPr>
      <t>(Si pas de trajet NE PAS renseigner la ligne)</t>
    </r>
  </si>
  <si>
    <t>Dont Heures de nuit</t>
  </si>
  <si>
    <t>Dont Heures Jour férié</t>
  </si>
  <si>
    <t>Nb Heures</t>
  </si>
  <si>
    <t>Type d'heures</t>
  </si>
  <si>
    <t>Temps passé 
pour aller au/revenir du lieu de travail</t>
  </si>
  <si>
    <r>
      <rPr>
        <b/>
        <sz val="8"/>
        <color theme="0"/>
        <rFont val="Arial"/>
        <family val="2"/>
      </rPr>
      <t xml:space="preserve">Relevé </t>
    </r>
    <r>
      <rPr>
        <b/>
        <sz val="6"/>
        <color theme="9"/>
        <rFont val="Arial"/>
        <family val="2"/>
      </rPr>
      <t>(Si pas d'astreinte NE PAS renseigner la ligne)</t>
    </r>
  </si>
  <si>
    <t>INTERVENTIONS</t>
  </si>
  <si>
    <t>Temps passé 
en intervention lors d'une astreinte</t>
  </si>
  <si>
    <t>Relevé Intervention 1</t>
  </si>
  <si>
    <t>Pas d'information relative aux astreintes enregistrées dans la feuille "Astreinte"</t>
  </si>
  <si>
    <t xml:space="preserve">Il y a des informations relatives aux astreintes enregistrées dans la feuille "Astreinte" </t>
  </si>
  <si>
    <t>Travail</t>
  </si>
  <si>
    <t>Trajet</t>
  </si>
  <si>
    <t>Intervention en Astreinte</t>
  </si>
  <si>
    <t>Commentaire sur les interventions</t>
  </si>
  <si>
    <t>Relevé Intervention 2</t>
  </si>
  <si>
    <t>Relevé intervention 3</t>
  </si>
  <si>
    <t>Info sur Feuille 1</t>
  </si>
  <si>
    <t>Temps passé en astreinte</t>
  </si>
  <si>
    <t>Astreintes &amp; Interventions</t>
  </si>
  <si>
    <t>Heures  Interv.</t>
  </si>
  <si>
    <t>Les données sur les astreintes se renseignent dans la feuille "Astreinte" de ce fichier.</t>
  </si>
  <si>
    <r>
      <t xml:space="preserve">Une fois le formulaire complètement renseigné </t>
    </r>
    <r>
      <rPr>
        <i/>
        <sz val="6"/>
        <color rgb="FFFF0000"/>
        <rFont val="Arial"/>
        <family val="2"/>
      </rPr>
      <t>(sans cellules surlignées en rouge)</t>
    </r>
    <r>
      <rPr>
        <i/>
        <sz val="6"/>
        <color rgb="FF0070C0"/>
        <rFont val="Arial"/>
        <family val="2"/>
      </rPr>
      <t>, 
le Collaborateur le signe et le transmet à son Responsable Hiérarchique.
Ce dernier, soit le retourne au Collaborateur pour correction, soit le signe et le transmet au Service Paye.</t>
    </r>
  </si>
  <si>
    <t>Heures de nuit</t>
  </si>
  <si>
    <t>Contingent Hres Supp.</t>
  </si>
  <si>
    <t>Heures Trav.</t>
  </si>
  <si>
    <t>Heures Totales</t>
  </si>
  <si>
    <t>CP</t>
  </si>
  <si>
    <t>RTT</t>
  </si>
  <si>
    <t>Autre congé</t>
  </si>
  <si>
    <r>
      <t>Férié</t>
    </r>
    <r>
      <rPr>
        <sz val="6"/>
        <color theme="0"/>
        <rFont val="Arial"/>
        <family val="2"/>
      </rPr>
      <t xml:space="preserve"> 
(ou Abs.)</t>
    </r>
  </si>
  <si>
    <t>Jour Trav.</t>
  </si>
  <si>
    <t>Jour Férié</t>
  </si>
  <si>
    <t>-</t>
  </si>
  <si>
    <t>Cumul heures</t>
  </si>
  <si>
    <t>Heures Trajet</t>
  </si>
  <si>
    <t>Temps passé sur le lieu de travail 
ou entre 2 lieux de travail</t>
  </si>
  <si>
    <t>Total heures</t>
  </si>
  <si>
    <t>Jour férié travaillé</t>
  </si>
  <si>
    <t>Autres heures (&gt;45h)</t>
  </si>
  <si>
    <t>Dont heures de nuit</t>
  </si>
  <si>
    <t>Heures Supp. Payées</t>
  </si>
  <si>
    <t>Total Supp. Payées</t>
  </si>
  <si>
    <t>Nb de jour effectivement travaillé</t>
  </si>
  <si>
    <t>Nb jour/semaine</t>
  </si>
  <si>
    <t>Scénario 1</t>
  </si>
  <si>
    <t>TRAVAIL</t>
  </si>
  <si>
    <t>TRAJET</t>
  </si>
  <si>
    <t>Scénario 2</t>
  </si>
  <si>
    <t>Scénario 3</t>
  </si>
  <si>
    <t>Scénario 4</t>
  </si>
  <si>
    <t>Scénario 5</t>
  </si>
  <si>
    <t>Scénario 6</t>
  </si>
  <si>
    <t>Autres heures (&gt;37h, &lt;=45h)</t>
  </si>
  <si>
    <t>Total payées 100%</t>
  </si>
  <si>
    <t>Total payées 125%</t>
  </si>
  <si>
    <t>Total payées 150%</t>
  </si>
  <si>
    <t>Total payées 200%</t>
  </si>
  <si>
    <t>Règles de calcul du pavé "Synthèse PAYE Semaine"</t>
  </si>
  <si>
    <t>Hsupp 200%</t>
  </si>
  <si>
    <t>Dans l'ordre, on calcule :</t>
  </si>
  <si>
    <t>Toute heure faite un jour férié est payée à 200%</t>
  </si>
  <si>
    <t>Toute heure faite de nuit (hors jour férié - voir ci-dessus) est payée à 125%</t>
  </si>
  <si>
    <t>Hsupp 100%</t>
  </si>
  <si>
    <t>Hsupp 125%</t>
  </si>
  <si>
    <t>Temps Travail Effectif Standard (TTES)</t>
  </si>
  <si>
    <t>Temps Travail Standard (TTS) en heures</t>
  </si>
  <si>
    <t>Temps Travail Effectif Standard (TTES) en heures</t>
  </si>
  <si>
    <t>Si le cumul Heures Travaillées + Heures de Trajet dépasse le TTES (37h sur 5 jours, 29,6h sur 4 jours, etc) :</t>
  </si>
  <si>
    <t>On paye d'abord les heures de TRAJET en Hsupp 100% [dans la limite (H Travaillées + H de Trajet - H nuit - H JF )-TTES]</t>
  </si>
  <si>
    <t>Hsupp 150%</t>
  </si>
  <si>
    <t>Heures Travaillées (hors H nuit + H JF) comprises entre 37h01 et 45h00</t>
  </si>
  <si>
    <t>Heures Travaillées (hors H nuit + H JF) comprises entre 45h01 et 48h00</t>
  </si>
  <si>
    <t>Si le nb de jour travaillé est &lt;5, on paie à 100% les heures Travaillées (hors H nuit + H JF) comprises entre TTES et 37h</t>
  </si>
  <si>
    <t>Synthèse PAYE Semaine : 42</t>
  </si>
  <si>
    <t/>
  </si>
  <si>
    <t>Compteur Hres Semaine : 42</t>
  </si>
  <si>
    <r>
      <t>BT.F098</t>
    </r>
    <r>
      <rPr>
        <sz val="4"/>
        <color rgb="FF808080"/>
        <rFont val="Arial"/>
        <family val="2"/>
      </rPr>
      <t>-03fr</t>
    </r>
  </si>
  <si>
    <t>MCAPELA</t>
  </si>
  <si>
    <t>BEROUD-BLANC</t>
  </si>
  <si>
    <t>Argis - Bugey</t>
  </si>
  <si>
    <t>Campagne KZC BUGEY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</si>
</sst>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h:mm;@"/>
    <numFmt numFmtId="166" formatCode="[$-F800]dddd\,\ mmmm\ dd\,\ yyyy"/>
  </numFmts>
  <fonts count="4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1"/>
      <color indexed="24"/>
      <name val="Arial"/>
      <family val="2"/>
    </font>
    <font>
      <i/>
      <sz val="11"/>
      <color indexed="24"/>
      <name val="Arial"/>
      <family val="2"/>
    </font>
    <font>
      <b/>
      <sz val="14"/>
      <color indexed="24"/>
      <name val="Arial"/>
      <family val="2"/>
    </font>
    <font>
      <sz val="8"/>
      <color rgb="FF000000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rgb="FF002060"/>
      <name val="Arial"/>
      <family val="2"/>
    </font>
    <font>
      <sz val="6"/>
      <color indexed="23"/>
      <name val="Arial"/>
      <family val="2"/>
    </font>
    <font>
      <sz val="10"/>
      <color rgb="FFFF00FF"/>
      <name val="Arial"/>
      <family val="2"/>
    </font>
    <font>
      <sz val="10"/>
      <name val="Arial"/>
      <family val="2"/>
    </font>
    <font>
      <sz val="10"/>
      <color rgb="FF002060"/>
      <name val="Arial"/>
      <family val="2"/>
    </font>
    <font>
      <sz val="8"/>
      <color rgb="FF002060"/>
      <name val="Arial"/>
      <family val="2"/>
    </font>
    <font>
      <sz val="8"/>
      <color indexed="24"/>
      <name val="Arial"/>
      <family val="2"/>
    </font>
    <font>
      <sz val="10"/>
      <color theme="0"/>
      <name val="Arial"/>
      <family val="2"/>
    </font>
    <font>
      <b/>
      <sz val="9"/>
      <color theme="0"/>
      <name val="Arial"/>
      <family val="2"/>
    </font>
    <font>
      <b/>
      <sz val="14"/>
      <color rgb="FFFF00FF"/>
      <name val="Arial"/>
      <family val="2"/>
    </font>
    <font>
      <sz val="8"/>
      <color theme="0"/>
      <name val="Arial"/>
      <family val="2"/>
    </font>
    <font>
      <sz val="6"/>
      <color theme="0"/>
      <name val="Arial"/>
      <family val="2"/>
    </font>
    <font>
      <b/>
      <sz val="6"/>
      <color rgb="FFFF00FF"/>
      <name val="Arial"/>
      <family val="2"/>
    </font>
    <font>
      <b/>
      <sz val="9"/>
      <color rgb="FF263F6A"/>
      <name val="Arial"/>
      <family val="2"/>
    </font>
    <font>
      <sz val="8"/>
      <color rgb="FFFF00FF"/>
      <name val="Arial"/>
      <family val="2"/>
    </font>
    <font>
      <b/>
      <sz val="8"/>
      <color rgb="FFFF00FF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indexed="24"/>
      <name val="Arial"/>
      <family val="2"/>
    </font>
    <font>
      <b/>
      <sz val="6"/>
      <color theme="9"/>
      <name val="Arial"/>
      <family val="2"/>
    </font>
    <font>
      <b/>
      <sz val="8"/>
      <color theme="0"/>
      <name val="Arial"/>
      <family val="2"/>
    </font>
    <font>
      <b/>
      <sz val="8"/>
      <name val="Arial"/>
      <family val="2"/>
    </font>
    <font>
      <b/>
      <sz val="8"/>
      <color rgb="FF002060"/>
      <name val="Arial"/>
      <family val="2"/>
    </font>
    <font>
      <sz val="6"/>
      <name val="Arial"/>
      <family val="2"/>
    </font>
    <font>
      <sz val="6"/>
      <color theme="9" tint="-0.499984740745262"/>
      <name val="Arial"/>
      <family val="2"/>
    </font>
    <font>
      <sz val="8"/>
      <color theme="9" tint="-0.499984740745262"/>
      <name val="Arial"/>
      <family val="2"/>
    </font>
    <font>
      <i/>
      <sz val="6"/>
      <color rgb="FF0070C0"/>
      <name val="Arial"/>
      <family val="2"/>
    </font>
    <font>
      <b/>
      <sz val="14"/>
      <color theme="9" tint="-0.499984740745262"/>
      <name val="Arial"/>
      <family val="2"/>
    </font>
    <font>
      <sz val="6"/>
      <color rgb="FFFF00FF"/>
      <name val="Arial"/>
      <family val="2"/>
    </font>
    <font>
      <i/>
      <sz val="6"/>
      <color rgb="FFFF0000"/>
      <name val="Arial"/>
      <family val="2"/>
    </font>
    <font>
      <sz val="6"/>
      <color rgb="FF0070C0"/>
      <name val="Arial"/>
      <family val="2"/>
    </font>
    <font>
      <sz val="10"/>
      <color rgb="FFFF0000"/>
      <name val="Arial"/>
      <family val="2"/>
    </font>
    <font>
      <i/>
      <sz val="5"/>
      <name val="Arial"/>
      <family val="2"/>
    </font>
    <font>
      <i/>
      <sz val="5"/>
      <color rgb="FFFF00FF"/>
      <name val="Arial"/>
      <family val="2"/>
    </font>
    <font>
      <sz val="10"/>
      <color theme="9" tint="-0.499984740745262"/>
      <name val="Arial"/>
      <family val="2"/>
    </font>
    <font>
      <sz val="4"/>
      <color rgb="FF808080"/>
      <name val="Arial"/>
      <family val="2"/>
    </font>
    <font>
      <sz val="8"/>
      <color indexed="81"/>
      <name val="Arial"/>
      <family val="2"/>
    </font>
    <font>
      <sz val="6"/>
      <color indexed="8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9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dotted">
        <color rgb="FF00206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thin">
        <color auto="1"/>
      </top>
      <bottom style="dotted">
        <color auto="1"/>
      </bottom>
      <diagonal/>
    </border>
    <border>
      <left style="dotted">
        <color indexed="64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thin">
        <color auto="1"/>
      </bottom>
      <diagonal/>
    </border>
    <border>
      <left style="dotted">
        <color indexed="64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dotted">
        <color auto="1"/>
      </top>
      <bottom style="thin">
        <color auto="1"/>
      </bottom>
      <diagonal/>
    </border>
    <border>
      <left/>
      <right style="dotted">
        <color indexed="64"/>
      </right>
      <top style="dotted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2060"/>
      </left>
      <right/>
      <top/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dotted">
        <color rgb="FF002060"/>
      </bottom>
      <diagonal/>
    </border>
    <border>
      <left/>
      <right/>
      <top style="thin">
        <color rgb="FF002060"/>
      </top>
      <bottom style="dotted">
        <color rgb="FF002060"/>
      </bottom>
      <diagonal/>
    </border>
    <border>
      <left/>
      <right style="thin">
        <color rgb="FF002060"/>
      </right>
      <top style="thin">
        <color rgb="FF002060"/>
      </top>
      <bottom style="dotted">
        <color rgb="FF002060"/>
      </bottom>
      <diagonal/>
    </border>
    <border>
      <left style="thin">
        <color indexed="64"/>
      </left>
      <right style="dotted">
        <color indexed="64"/>
      </right>
      <top style="dotted">
        <color auto="1"/>
      </top>
      <bottom style="thin">
        <color auto="1"/>
      </bottom>
      <diagonal/>
    </border>
    <border>
      <left/>
      <right style="thin">
        <color rgb="FF002060"/>
      </right>
      <top/>
      <bottom/>
      <diagonal/>
    </border>
    <border>
      <left/>
      <right/>
      <top style="dotted">
        <color rgb="FF002060"/>
      </top>
      <bottom/>
      <diagonal/>
    </border>
    <border>
      <left style="thin">
        <color rgb="FF002060"/>
      </left>
      <right/>
      <top style="dotted">
        <color rgb="FF002060"/>
      </top>
      <bottom/>
      <diagonal/>
    </border>
    <border>
      <left/>
      <right style="thin">
        <color rgb="FF002060"/>
      </right>
      <top style="dotted">
        <color rgb="FF002060"/>
      </top>
      <bottom/>
      <diagonal/>
    </border>
    <border>
      <left style="thin">
        <color rgb="FF002060"/>
      </left>
      <right/>
      <top/>
      <bottom/>
      <diagonal/>
    </border>
    <border>
      <left/>
      <right style="thin">
        <color rgb="FF002060"/>
      </right>
      <top/>
      <bottom style="thin">
        <color rgb="FF002060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theme="0"/>
      </left>
      <right style="dotted">
        <color theme="0"/>
      </right>
      <top style="thin">
        <color auto="1"/>
      </top>
      <bottom/>
      <diagonal/>
    </border>
    <border>
      <left style="dotted">
        <color theme="0"/>
      </left>
      <right style="thin">
        <color indexed="64"/>
      </right>
      <top style="thin">
        <color auto="1"/>
      </top>
      <bottom/>
      <diagonal/>
    </border>
    <border>
      <left style="dotted">
        <color theme="0"/>
      </left>
      <right style="dotted">
        <color theme="0"/>
      </right>
      <top/>
      <bottom style="thin">
        <color indexed="64"/>
      </bottom>
      <diagonal/>
    </border>
    <border>
      <left style="dotted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theme="0"/>
      </right>
      <top style="thin">
        <color indexed="64"/>
      </top>
      <bottom/>
      <diagonal/>
    </border>
    <border>
      <left style="thin">
        <color indexed="64"/>
      </left>
      <right style="dotted">
        <color theme="0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theme="0"/>
      </top>
      <bottom/>
      <diagonal/>
    </border>
    <border>
      <left style="dotted">
        <color indexed="64"/>
      </left>
      <right style="dotted">
        <color indexed="64"/>
      </right>
      <top style="thin">
        <color theme="0"/>
      </top>
      <bottom/>
      <diagonal/>
    </border>
    <border>
      <left style="dotted">
        <color indexed="64"/>
      </left>
      <right style="thin">
        <color indexed="64"/>
      </right>
      <top style="thin">
        <color theme="0"/>
      </top>
      <bottom/>
      <diagonal/>
    </border>
    <border>
      <left/>
      <right style="dotted">
        <color indexed="64"/>
      </right>
      <top style="dotted">
        <color auto="1"/>
      </top>
      <bottom style="dotted">
        <color auto="1"/>
      </bottom>
      <diagonal/>
    </border>
    <border>
      <left/>
      <right style="dotted">
        <color indexed="64"/>
      </right>
      <top style="thin">
        <color auto="1"/>
      </top>
      <bottom style="dotted">
        <color auto="1"/>
      </bottom>
      <diagonal/>
    </border>
    <border>
      <left style="dotted">
        <color indexed="64"/>
      </left>
      <right/>
      <top style="thin">
        <color auto="1"/>
      </top>
      <bottom style="dotted">
        <color auto="1"/>
      </bottom>
      <diagonal/>
    </border>
    <border>
      <left style="dotted">
        <color indexed="64"/>
      </left>
      <right/>
      <top style="dotted">
        <color auto="1"/>
      </top>
      <bottom style="dotted">
        <color auto="1"/>
      </bottom>
      <diagonal/>
    </border>
    <border>
      <left/>
      <right/>
      <top style="thin">
        <color theme="0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0" fontId="1" fillId="0" borderId="0"/>
    <xf numFmtId="164" fontId="13" fillId="0" borderId="0" applyFont="0" applyFill="0" applyBorder="0" applyAlignment="0" applyProtection="0"/>
  </cellStyleXfs>
  <cellXfs count="407">
    <xf numFmtId="0" fontId="0" fillId="0" borderId="0" xfId="0"/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9" fillId="2" borderId="0" xfId="0" applyFont="1" applyFill="1" applyAlignment="1">
      <alignment horizontal="left" vertical="center"/>
    </xf>
    <xf numFmtId="0" fontId="8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6" fillId="2" borderId="0" xfId="0" applyFont="1" applyFill="1" applyAlignment="1">
      <alignment vertical="center"/>
    </xf>
    <xf numFmtId="0" fontId="11" fillId="4" borderId="0" xfId="0" applyFont="1" applyFill="1"/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2" fontId="2" fillId="0" borderId="0" xfId="0" applyNumberFormat="1" applyFont="1" applyAlignment="1">
      <alignment horizontal="left" vertical="center"/>
    </xf>
    <xf numFmtId="0" fontId="17" fillId="7" borderId="0" xfId="0" applyFont="1" applyFill="1" applyAlignment="1">
      <alignment horizontal="left" vertical="center"/>
    </xf>
    <xf numFmtId="0" fontId="17" fillId="7" borderId="7" xfId="0" applyFont="1" applyFill="1" applyBorder="1" applyAlignment="1">
      <alignment horizontal="left" vertical="center"/>
    </xf>
    <xf numFmtId="0" fontId="17" fillId="7" borderId="7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14" fillId="3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14" fillId="3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left" vertical="center"/>
    </xf>
    <xf numFmtId="0" fontId="14" fillId="3" borderId="1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left" vertical="center"/>
    </xf>
    <xf numFmtId="165" fontId="14" fillId="3" borderId="15" xfId="0" applyNumberFormat="1" applyFont="1" applyFill="1" applyBorder="1" applyAlignment="1">
      <alignment horizontal="center" vertical="center"/>
    </xf>
    <xf numFmtId="165" fontId="14" fillId="3" borderId="17" xfId="0" applyNumberFormat="1" applyFont="1" applyFill="1" applyBorder="1" applyAlignment="1">
      <alignment horizontal="center" vertical="center"/>
    </xf>
    <xf numFmtId="0" fontId="2" fillId="0" borderId="15" xfId="0" applyFont="1" applyBorder="1" applyAlignment="1">
      <alignment horizontal="right" vertical="center"/>
    </xf>
    <xf numFmtId="0" fontId="2" fillId="0" borderId="17" xfId="0" applyFont="1" applyBorder="1" applyAlignment="1">
      <alignment horizontal="right" vertical="center"/>
    </xf>
    <xf numFmtId="2" fontId="14" fillId="3" borderId="7" xfId="0" applyNumberFormat="1" applyFont="1" applyFill="1" applyBorder="1" applyAlignment="1">
      <alignment horizontal="center" vertical="center"/>
    </xf>
    <xf numFmtId="2" fontId="12" fillId="0" borderId="7" xfId="0" applyNumberFormat="1" applyFont="1" applyBorder="1" applyAlignment="1">
      <alignment horizontal="center" vertical="center"/>
    </xf>
    <xf numFmtId="2" fontId="12" fillId="0" borderId="15" xfId="0" applyNumberFormat="1" applyFont="1" applyBorder="1" applyAlignment="1">
      <alignment horizontal="center" vertical="center"/>
    </xf>
    <xf numFmtId="2" fontId="12" fillId="0" borderId="17" xfId="0" applyNumberFormat="1" applyFont="1" applyBorder="1" applyAlignment="1">
      <alignment horizontal="center" vertical="center"/>
    </xf>
    <xf numFmtId="2" fontId="14" fillId="3" borderId="1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2" fontId="0" fillId="3" borderId="15" xfId="0" applyNumberFormat="1" applyFill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4" fillId="2" borderId="19" xfId="0" applyFont="1" applyFill="1" applyBorder="1" applyAlignment="1">
      <alignment vertical="center"/>
    </xf>
    <xf numFmtId="0" fontId="14" fillId="2" borderId="20" xfId="0" applyFont="1" applyFill="1" applyBorder="1" applyAlignment="1">
      <alignment vertical="center"/>
    </xf>
    <xf numFmtId="0" fontId="14" fillId="2" borderId="22" xfId="0" applyFont="1" applyFill="1" applyBorder="1" applyAlignment="1">
      <alignment vertical="center"/>
    </xf>
    <xf numFmtId="0" fontId="14" fillId="2" borderId="23" xfId="0" applyFont="1" applyFill="1" applyBorder="1" applyAlignment="1">
      <alignment vertical="center"/>
    </xf>
    <xf numFmtId="0" fontId="14" fillId="2" borderId="25" xfId="0" applyFont="1" applyFill="1" applyBorder="1" applyAlignment="1">
      <alignment vertical="center"/>
    </xf>
    <xf numFmtId="0" fontId="14" fillId="2" borderId="26" xfId="0" applyFont="1" applyFill="1" applyBorder="1" applyAlignment="1">
      <alignment vertical="center"/>
    </xf>
    <xf numFmtId="0" fontId="10" fillId="2" borderId="5" xfId="0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15" fillId="2" borderId="18" xfId="0" applyFont="1" applyFill="1" applyBorder="1" applyAlignment="1">
      <alignment vertical="center"/>
    </xf>
    <xf numFmtId="0" fontId="15" fillId="2" borderId="21" xfId="0" applyFont="1" applyFill="1" applyBorder="1" applyAlignment="1">
      <alignment vertical="center"/>
    </xf>
    <xf numFmtId="0" fontId="15" fillId="2" borderId="24" xfId="0" applyFont="1" applyFill="1" applyBorder="1" applyAlignment="1">
      <alignment vertical="center"/>
    </xf>
    <xf numFmtId="0" fontId="32" fillId="2" borderId="4" xfId="0" applyFont="1" applyFill="1" applyBorder="1" applyAlignment="1">
      <alignment vertical="center"/>
    </xf>
    <xf numFmtId="0" fontId="32" fillId="2" borderId="0" xfId="0" applyFont="1" applyFill="1" applyAlignment="1">
      <alignment vertical="center"/>
    </xf>
    <xf numFmtId="0" fontId="31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31" fillId="2" borderId="0" xfId="0" applyFont="1" applyFill="1" applyAlignment="1">
      <alignment horizontal="left" vertical="center"/>
    </xf>
    <xf numFmtId="0" fontId="15" fillId="2" borderId="19" xfId="0" applyFont="1" applyFill="1" applyBorder="1" applyAlignment="1">
      <alignment vertical="center"/>
    </xf>
    <xf numFmtId="0" fontId="15" fillId="2" borderId="20" xfId="0" applyFont="1" applyFill="1" applyBorder="1" applyAlignment="1">
      <alignment vertical="center"/>
    </xf>
    <xf numFmtId="0" fontId="15" fillId="2" borderId="22" xfId="0" applyFont="1" applyFill="1" applyBorder="1" applyAlignment="1">
      <alignment vertical="center"/>
    </xf>
    <xf numFmtId="0" fontId="15" fillId="2" borderId="23" xfId="0" applyFont="1" applyFill="1" applyBorder="1" applyAlignment="1">
      <alignment vertical="center"/>
    </xf>
    <xf numFmtId="0" fontId="15" fillId="2" borderId="25" xfId="0" applyFont="1" applyFill="1" applyBorder="1" applyAlignment="1">
      <alignment vertical="center"/>
    </xf>
    <xf numFmtId="0" fontId="15" fillId="2" borderId="26" xfId="0" applyFont="1" applyFill="1" applyBorder="1" applyAlignment="1">
      <alignment vertical="center"/>
    </xf>
    <xf numFmtId="0" fontId="32" fillId="2" borderId="5" xfId="0" applyFont="1" applyFill="1" applyBorder="1" applyAlignment="1">
      <alignment vertical="center"/>
    </xf>
    <xf numFmtId="0" fontId="32" fillId="2" borderId="1" xfId="0" applyFont="1" applyFill="1" applyBorder="1" applyAlignment="1">
      <alignment vertical="center"/>
    </xf>
    <xf numFmtId="0" fontId="36" fillId="0" borderId="0" xfId="0" applyFont="1"/>
    <xf numFmtId="0" fontId="36" fillId="0" borderId="0" xfId="0" applyFont="1" applyAlignment="1">
      <alignment vertical="center"/>
    </xf>
    <xf numFmtId="0" fontId="36" fillId="0" borderId="53" xfId="0" applyFont="1" applyBorder="1" applyAlignment="1">
      <alignment vertical="center"/>
    </xf>
    <xf numFmtId="0" fontId="36" fillId="0" borderId="0" xfId="0" applyFont="1" applyAlignment="1">
      <alignment wrapText="1"/>
    </xf>
    <xf numFmtId="0" fontId="17" fillId="5" borderId="0" xfId="0" applyFont="1" applyFill="1"/>
    <xf numFmtId="0" fontId="17" fillId="5" borderId="0" xfId="0" applyFont="1" applyFill="1" applyAlignment="1">
      <alignment horizontal="left" vertical="center"/>
    </xf>
    <xf numFmtId="0" fontId="3" fillId="10" borderId="0" xfId="0" applyFont="1" applyFill="1"/>
    <xf numFmtId="0" fontId="3" fillId="11" borderId="0" xfId="0" applyFont="1" applyFill="1"/>
    <xf numFmtId="0" fontId="0" fillId="10" borderId="0" xfId="0" applyFill="1" applyAlignment="1">
      <alignment horizontal="left" vertical="center"/>
    </xf>
    <xf numFmtId="0" fontId="31" fillId="0" borderId="8" xfId="0" applyFont="1" applyBorder="1" applyAlignment="1">
      <alignment vertical="center"/>
    </xf>
    <xf numFmtId="0" fontId="31" fillId="0" borderId="2" xfId="0" applyFont="1" applyBorder="1" applyAlignment="1">
      <alignment vertical="center"/>
    </xf>
    <xf numFmtId="0" fontId="31" fillId="0" borderId="9" xfId="0" applyFont="1" applyBorder="1" applyAlignment="1">
      <alignment vertical="center"/>
    </xf>
    <xf numFmtId="0" fontId="15" fillId="0" borderId="0" xfId="0" applyFont="1" applyAlignment="1">
      <alignment vertical="center" wrapText="1"/>
    </xf>
    <xf numFmtId="0" fontId="33" fillId="0" borderId="0" xfId="0" quotePrefix="1" applyFont="1" applyAlignment="1">
      <alignment horizontal="center" vertical="center" textRotation="90" wrapText="1"/>
    </xf>
    <xf numFmtId="2" fontId="25" fillId="0" borderId="0" xfId="0" applyNumberFormat="1" applyFont="1" applyAlignment="1">
      <alignment horizontal="center" vertical="center"/>
    </xf>
    <xf numFmtId="2" fontId="22" fillId="2" borderId="0" xfId="3" applyNumberFormat="1" applyFont="1" applyFill="1" applyBorder="1" applyAlignment="1" applyProtection="1">
      <alignment horizontal="center" vertical="center"/>
    </xf>
    <xf numFmtId="0" fontId="6" fillId="2" borderId="12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31" fillId="2" borderId="0" xfId="0" applyFont="1" applyFill="1" applyAlignment="1">
      <alignment vertical="center"/>
    </xf>
    <xf numFmtId="0" fontId="14" fillId="3" borderId="18" xfId="0" applyFont="1" applyFill="1" applyBorder="1" applyAlignment="1">
      <alignment horizontal="center" vertical="center"/>
    </xf>
    <xf numFmtId="0" fontId="14" fillId="3" borderId="19" xfId="0" applyFont="1" applyFill="1" applyBorder="1" applyAlignment="1">
      <alignment horizontal="center" vertical="center"/>
    </xf>
    <xf numFmtId="0" fontId="14" fillId="3" borderId="20" xfId="0" applyFont="1" applyFill="1" applyBorder="1" applyAlignment="1">
      <alignment horizontal="center" vertical="center"/>
    </xf>
    <xf numFmtId="0" fontId="14" fillId="3" borderId="24" xfId="0" applyFont="1" applyFill="1" applyBorder="1" applyAlignment="1">
      <alignment horizontal="center" vertical="center"/>
    </xf>
    <xf numFmtId="0" fontId="14" fillId="3" borderId="25" xfId="0" applyFont="1" applyFill="1" applyBorder="1" applyAlignment="1">
      <alignment horizontal="center" vertical="center"/>
    </xf>
    <xf numFmtId="0" fontId="14" fillId="3" borderId="26" xfId="0" applyFont="1" applyFill="1" applyBorder="1" applyAlignment="1">
      <alignment horizontal="center" vertical="center"/>
    </xf>
    <xf numFmtId="0" fontId="41" fillId="0" borderId="0" xfId="0" applyFont="1" applyAlignment="1">
      <alignment vertical="center"/>
    </xf>
    <xf numFmtId="1" fontId="12" fillId="0" borderId="0" xfId="0" applyNumberFormat="1" applyFont="1" applyAlignment="1">
      <alignment horizontal="center" vertical="center"/>
    </xf>
    <xf numFmtId="1" fontId="44" fillId="0" borderId="7" xfId="0" applyNumberFormat="1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1" fontId="14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/>
    <xf numFmtId="2" fontId="8" fillId="0" borderId="0" xfId="0" applyNumberFormat="1" applyFont="1" applyAlignment="1">
      <alignment vertical="center"/>
    </xf>
    <xf numFmtId="0" fontId="3" fillId="11" borderId="0" xfId="0" applyFont="1" applyFill="1" applyAlignment="1">
      <alignment horizontal="right"/>
    </xf>
    <xf numFmtId="0" fontId="3" fillId="0" borderId="7" xfId="0" applyFont="1" applyBorder="1" applyAlignment="1">
      <alignment horizontal="center" vertical="center"/>
    </xf>
    <xf numFmtId="0" fontId="3" fillId="10" borderId="0" xfId="0" applyFont="1" applyFill="1" applyAlignment="1">
      <alignment horizontal="left" indent="1"/>
    </xf>
    <xf numFmtId="0" fontId="30" fillId="8" borderId="0" xfId="0" applyFont="1" applyFill="1" applyAlignment="1">
      <alignment horizontal="center" vertical="center" textRotation="90"/>
    </xf>
    <xf numFmtId="0" fontId="35" fillId="0" borderId="0" xfId="0" applyFont="1" applyAlignment="1">
      <alignment horizontal="left" vertical="center"/>
    </xf>
    <xf numFmtId="0" fontId="30" fillId="5" borderId="14" xfId="0" applyFont="1" applyFill="1" applyBorder="1" applyAlignment="1">
      <alignment horizontal="center" vertical="center"/>
    </xf>
    <xf numFmtId="2" fontId="38" fillId="0" borderId="16" xfId="0" applyNumberFormat="1" applyFont="1" applyBorder="1" applyAlignment="1">
      <alignment horizontal="center" vertical="center"/>
    </xf>
    <xf numFmtId="0" fontId="38" fillId="0" borderId="16" xfId="0" applyFont="1" applyBorder="1" applyAlignment="1">
      <alignment horizontal="center" vertical="center"/>
    </xf>
    <xf numFmtId="0" fontId="42" fillId="0" borderId="21" xfId="0" applyFont="1" applyBorder="1" applyAlignment="1">
      <alignment horizontal="left" vertical="center" indent="2"/>
    </xf>
    <xf numFmtId="0" fontId="42" fillId="0" borderId="22" xfId="0" applyFont="1" applyBorder="1" applyAlignment="1">
      <alignment horizontal="left" vertical="center" indent="2"/>
    </xf>
    <xf numFmtId="0" fontId="42" fillId="0" borderId="23" xfId="0" applyFont="1" applyBorder="1" applyAlignment="1">
      <alignment horizontal="left" vertical="center" indent="2"/>
    </xf>
    <xf numFmtId="2" fontId="43" fillId="0" borderId="16" xfId="0" applyNumberFormat="1" applyFont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2" fontId="38" fillId="2" borderId="52" xfId="3" applyNumberFormat="1" applyFont="1" applyFill="1" applyBorder="1" applyAlignment="1" applyProtection="1">
      <alignment horizontal="center" vertical="center"/>
    </xf>
    <xf numFmtId="2" fontId="38" fillId="2" borderId="37" xfId="3" applyNumberFormat="1" applyFont="1" applyFill="1" applyBorder="1" applyAlignment="1" applyProtection="1">
      <alignment horizontal="center" vertical="center"/>
    </xf>
    <xf numFmtId="2" fontId="22" fillId="2" borderId="38" xfId="3" applyNumberFormat="1" applyFont="1" applyFill="1" applyBorder="1" applyAlignment="1" applyProtection="1">
      <alignment horizontal="center" vertical="center"/>
    </xf>
    <xf numFmtId="2" fontId="22" fillId="2" borderId="40" xfId="3" applyNumberFormat="1" applyFont="1" applyFill="1" applyBorder="1" applyAlignment="1" applyProtection="1">
      <alignment horizontal="center" vertical="center"/>
    </xf>
    <xf numFmtId="2" fontId="24" fillId="12" borderId="15" xfId="0" applyNumberFormat="1" applyFont="1" applyFill="1" applyBorder="1" applyAlignment="1">
      <alignment horizontal="left" vertical="center"/>
    </xf>
    <xf numFmtId="0" fontId="24" fillId="12" borderId="15" xfId="0" applyFont="1" applyFill="1" applyBorder="1" applyAlignment="1">
      <alignment horizontal="left" vertical="center"/>
    </xf>
    <xf numFmtId="0" fontId="33" fillId="0" borderId="24" xfId="0" applyFont="1" applyBorder="1" applyAlignment="1">
      <alignment horizontal="left" vertical="center" indent="1"/>
    </xf>
    <xf numFmtId="0" fontId="33" fillId="0" borderId="25" xfId="0" applyFont="1" applyBorder="1" applyAlignment="1">
      <alignment horizontal="left" vertical="center" indent="1"/>
    </xf>
    <xf numFmtId="0" fontId="33" fillId="0" borderId="26" xfId="0" applyFont="1" applyBorder="1" applyAlignment="1">
      <alignment horizontal="left" vertical="center" indent="1"/>
    </xf>
    <xf numFmtId="165" fontId="15" fillId="3" borderId="21" xfId="0" applyNumberFormat="1" applyFont="1" applyFill="1" applyBorder="1" applyAlignment="1" applyProtection="1">
      <alignment horizontal="center" vertical="center"/>
      <protection locked="0"/>
    </xf>
    <xf numFmtId="165" fontId="15" fillId="3" borderId="71" xfId="0" applyNumberFormat="1" applyFont="1" applyFill="1" applyBorder="1" applyAlignment="1" applyProtection="1">
      <alignment horizontal="center" vertical="center"/>
      <protection locked="0"/>
    </xf>
    <xf numFmtId="165" fontId="15" fillId="3" borderId="74" xfId="0" applyNumberFormat="1" applyFont="1" applyFill="1" applyBorder="1" applyAlignment="1" applyProtection="1">
      <alignment horizontal="center" vertical="center"/>
      <protection locked="0"/>
    </xf>
    <xf numFmtId="165" fontId="15" fillId="3" borderId="23" xfId="0" applyNumberFormat="1" applyFont="1" applyFill="1" applyBorder="1" applyAlignment="1" applyProtection="1">
      <alignment horizontal="center" vertical="center"/>
      <protection locked="0"/>
    </xf>
    <xf numFmtId="165" fontId="15" fillId="3" borderId="24" xfId="0" applyNumberFormat="1" applyFont="1" applyFill="1" applyBorder="1" applyAlignment="1" applyProtection="1">
      <alignment horizontal="center" vertical="center"/>
      <protection locked="0"/>
    </xf>
    <xf numFmtId="165" fontId="15" fillId="3" borderId="42" xfId="0" applyNumberFormat="1" applyFont="1" applyFill="1" applyBorder="1" applyAlignment="1" applyProtection="1">
      <alignment horizontal="center" vertical="center"/>
      <protection locked="0"/>
    </xf>
    <xf numFmtId="165" fontId="15" fillId="3" borderId="41" xfId="0" applyNumberFormat="1" applyFont="1" applyFill="1" applyBorder="1" applyAlignment="1" applyProtection="1">
      <alignment horizontal="center" vertical="center"/>
      <protection locked="0"/>
    </xf>
    <xf numFmtId="165" fontId="15" fillId="3" borderId="26" xfId="0" applyNumberFormat="1" applyFont="1" applyFill="1" applyBorder="1" applyAlignment="1" applyProtection="1">
      <alignment horizontal="center" vertical="center"/>
      <protection locked="0"/>
    </xf>
    <xf numFmtId="2" fontId="34" fillId="0" borderId="17" xfId="0" applyNumberFormat="1" applyFont="1" applyBorder="1" applyAlignment="1">
      <alignment horizontal="center" vertical="center"/>
    </xf>
    <xf numFmtId="0" fontId="34" fillId="0" borderId="17" xfId="0" applyFont="1" applyBorder="1" applyAlignment="1">
      <alignment horizontal="center" vertical="center"/>
    </xf>
    <xf numFmtId="2" fontId="38" fillId="2" borderId="33" xfId="3" applyNumberFormat="1" applyFont="1" applyFill="1" applyBorder="1" applyAlignment="1" applyProtection="1">
      <alignment horizontal="center" vertical="center"/>
    </xf>
    <xf numFmtId="2" fontId="38" fillId="2" borderId="34" xfId="3" applyNumberFormat="1" applyFont="1" applyFill="1" applyBorder="1" applyAlignment="1" applyProtection="1">
      <alignment horizontal="center" vertical="center"/>
    </xf>
    <xf numFmtId="2" fontId="38" fillId="2" borderId="36" xfId="3" applyNumberFormat="1" applyFont="1" applyFill="1" applyBorder="1" applyAlignment="1" applyProtection="1">
      <alignment horizontal="center" vertical="center"/>
    </xf>
    <xf numFmtId="0" fontId="20" fillId="5" borderId="75" xfId="0" applyFont="1" applyFill="1" applyBorder="1" applyAlignment="1">
      <alignment horizontal="center" vertical="center" wrapText="1"/>
    </xf>
    <xf numFmtId="0" fontId="20" fillId="5" borderId="0" xfId="0" applyFont="1" applyFill="1" applyAlignment="1">
      <alignment horizontal="center" vertical="center" wrapText="1"/>
    </xf>
    <xf numFmtId="0" fontId="33" fillId="0" borderId="21" xfId="0" applyFont="1" applyBorder="1" applyAlignment="1">
      <alignment horizontal="left" vertical="center" indent="1"/>
    </xf>
    <xf numFmtId="0" fontId="33" fillId="0" borderId="22" xfId="0" applyFont="1" applyBorder="1" applyAlignment="1">
      <alignment horizontal="left" vertical="center" indent="1"/>
    </xf>
    <xf numFmtId="0" fontId="33" fillId="0" borderId="23" xfId="0" applyFont="1" applyBorder="1" applyAlignment="1">
      <alignment horizontal="left" vertical="center" indent="1"/>
    </xf>
    <xf numFmtId="0" fontId="3" fillId="12" borderId="18" xfId="0" applyFont="1" applyFill="1" applyBorder="1" applyAlignment="1">
      <alignment horizontal="left" vertical="center"/>
    </xf>
    <xf numFmtId="0" fontId="3" fillId="12" borderId="19" xfId="0" applyFont="1" applyFill="1" applyBorder="1" applyAlignment="1">
      <alignment horizontal="left" vertical="center"/>
    </xf>
    <xf numFmtId="0" fontId="3" fillId="12" borderId="20" xfId="0" applyFont="1" applyFill="1" applyBorder="1" applyAlignment="1">
      <alignment horizontal="left" vertical="center"/>
    </xf>
    <xf numFmtId="0" fontId="21" fillId="5" borderId="79" xfId="0" applyFont="1" applyFill="1" applyBorder="1" applyAlignment="1">
      <alignment horizontal="left" vertical="center" indent="1"/>
    </xf>
    <xf numFmtId="0" fontId="21" fillId="5" borderId="80" xfId="0" applyFont="1" applyFill="1" applyBorder="1" applyAlignment="1">
      <alignment horizontal="left" vertical="center" indent="1"/>
    </xf>
    <xf numFmtId="0" fontId="33" fillId="0" borderId="83" xfId="0" applyFont="1" applyBorder="1" applyAlignment="1">
      <alignment horizontal="left" vertical="center" indent="2"/>
    </xf>
    <xf numFmtId="0" fontId="33" fillId="0" borderId="22" xfId="0" applyFont="1" applyBorder="1" applyAlignment="1">
      <alignment horizontal="left" vertical="center" indent="2"/>
    </xf>
    <xf numFmtId="0" fontId="33" fillId="0" borderId="85" xfId="0" applyFont="1" applyBorder="1" applyAlignment="1">
      <alignment horizontal="left" vertical="center" indent="2"/>
    </xf>
    <xf numFmtId="0" fontId="33" fillId="0" borderId="86" xfId="0" applyFont="1" applyBorder="1" applyAlignment="1">
      <alignment horizontal="left" vertical="center" indent="2"/>
    </xf>
    <xf numFmtId="2" fontId="38" fillId="0" borderId="87" xfId="0" applyNumberFormat="1" applyFont="1" applyBorder="1" applyAlignment="1">
      <alignment horizontal="right" vertical="center"/>
    </xf>
    <xf numFmtId="0" fontId="38" fillId="0" borderId="88" xfId="0" applyFont="1" applyBorder="1" applyAlignment="1">
      <alignment horizontal="right" vertical="center"/>
    </xf>
    <xf numFmtId="2" fontId="25" fillId="0" borderId="81" xfId="0" applyNumberFormat="1" applyFont="1" applyBorder="1" applyAlignment="1">
      <alignment horizontal="center" vertical="center"/>
    </xf>
    <xf numFmtId="0" fontId="25" fillId="0" borderId="82" xfId="0" applyFont="1" applyBorder="1" applyAlignment="1">
      <alignment horizontal="center" vertical="center"/>
    </xf>
    <xf numFmtId="0" fontId="40" fillId="0" borderId="0" xfId="0" applyFont="1" applyAlignment="1">
      <alignment horizontal="left" vertical="top" wrapText="1"/>
    </xf>
    <xf numFmtId="2" fontId="25" fillId="13" borderId="81" xfId="0" applyNumberFormat="1" applyFont="1" applyFill="1" applyBorder="1" applyAlignment="1">
      <alignment horizontal="center" vertical="center"/>
    </xf>
    <xf numFmtId="0" fontId="25" fillId="13" borderId="82" xfId="0" applyFont="1" applyFill="1" applyBorder="1" applyAlignment="1">
      <alignment horizontal="center" vertical="center"/>
    </xf>
    <xf numFmtId="2" fontId="38" fillId="0" borderId="16" xfId="0" applyNumberFormat="1" applyFont="1" applyBorder="1" applyAlignment="1">
      <alignment horizontal="right" vertical="center"/>
    </xf>
    <xf numFmtId="0" fontId="38" fillId="0" borderId="84" xfId="0" applyFont="1" applyBorder="1" applyAlignment="1">
      <alignment horizontal="right" vertical="center"/>
    </xf>
    <xf numFmtId="0" fontId="23" fillId="0" borderId="3" xfId="0" applyFont="1" applyBorder="1" applyAlignment="1">
      <alignment horizontal="center" vertical="center" wrapText="1"/>
    </xf>
    <xf numFmtId="2" fontId="34" fillId="2" borderId="74" xfId="3" applyNumberFormat="1" applyFont="1" applyFill="1" applyBorder="1" applyAlignment="1" applyProtection="1">
      <alignment horizontal="center" vertical="center"/>
    </xf>
    <xf numFmtId="2" fontId="34" fillId="2" borderId="23" xfId="3" applyNumberFormat="1" applyFont="1" applyFill="1" applyBorder="1" applyAlignment="1" applyProtection="1">
      <alignment horizontal="center" vertical="center"/>
    </xf>
    <xf numFmtId="2" fontId="34" fillId="2" borderId="41" xfId="3" applyNumberFormat="1" applyFont="1" applyFill="1" applyBorder="1" applyAlignment="1" applyProtection="1">
      <alignment horizontal="center" vertical="center"/>
    </xf>
    <xf numFmtId="2" fontId="34" fillId="2" borderId="26" xfId="3" applyNumberFormat="1" applyFont="1" applyFill="1" applyBorder="1" applyAlignment="1" applyProtection="1">
      <alignment horizontal="center" vertical="center"/>
    </xf>
    <xf numFmtId="2" fontId="34" fillId="2" borderId="71" xfId="3" applyNumberFormat="1" applyFont="1" applyFill="1" applyBorder="1" applyAlignment="1" applyProtection="1">
      <alignment horizontal="center" vertical="center"/>
    </xf>
    <xf numFmtId="2" fontId="24" fillId="2" borderId="33" xfId="3" applyNumberFormat="1" applyFont="1" applyFill="1" applyBorder="1" applyAlignment="1" applyProtection="1">
      <alignment horizontal="center" vertical="center"/>
    </xf>
    <xf numFmtId="2" fontId="24" fillId="2" borderId="34" xfId="3" applyNumberFormat="1" applyFont="1" applyFill="1" applyBorder="1" applyAlignment="1" applyProtection="1">
      <alignment horizontal="center" vertical="center"/>
    </xf>
    <xf numFmtId="2" fontId="24" fillId="2" borderId="52" xfId="3" applyNumberFormat="1" applyFont="1" applyFill="1" applyBorder="1" applyAlignment="1" applyProtection="1">
      <alignment horizontal="center" vertical="center"/>
    </xf>
    <xf numFmtId="2" fontId="24" fillId="2" borderId="36" xfId="3" applyNumberFormat="1" applyFont="1" applyFill="1" applyBorder="1" applyAlignment="1" applyProtection="1">
      <alignment horizontal="center" vertical="center"/>
    </xf>
    <xf numFmtId="2" fontId="34" fillId="2" borderId="42" xfId="3" applyNumberFormat="1" applyFont="1" applyFill="1" applyBorder="1" applyAlignment="1" applyProtection="1">
      <alignment horizontal="center" vertical="center"/>
    </xf>
    <xf numFmtId="2" fontId="25" fillId="2" borderId="38" xfId="3" applyNumberFormat="1" applyFont="1" applyFill="1" applyBorder="1" applyAlignment="1" applyProtection="1">
      <alignment horizontal="center" vertical="center"/>
    </xf>
    <xf numFmtId="2" fontId="25" fillId="2" borderId="39" xfId="3" applyNumberFormat="1" applyFont="1" applyFill="1" applyBorder="1" applyAlignment="1" applyProtection="1">
      <alignment horizontal="center" vertical="center"/>
    </xf>
    <xf numFmtId="2" fontId="25" fillId="0" borderId="7" xfId="0" applyNumberFormat="1" applyFont="1" applyBorder="1" applyAlignment="1">
      <alignment horizontal="center" vertical="center"/>
    </xf>
    <xf numFmtId="2" fontId="24" fillId="2" borderId="30" xfId="3" applyNumberFormat="1" applyFont="1" applyFill="1" applyBorder="1" applyAlignment="1" applyProtection="1">
      <alignment horizontal="center" vertical="center"/>
    </xf>
    <xf numFmtId="2" fontId="24" fillId="2" borderId="31" xfId="3" applyNumberFormat="1" applyFont="1" applyFill="1" applyBorder="1" applyAlignment="1" applyProtection="1">
      <alignment horizontal="center" vertical="center"/>
    </xf>
    <xf numFmtId="2" fontId="22" fillId="2" borderId="39" xfId="3" applyNumberFormat="1" applyFont="1" applyFill="1" applyBorder="1" applyAlignment="1" applyProtection="1">
      <alignment horizontal="center" vertical="center"/>
    </xf>
    <xf numFmtId="0" fontId="30" fillId="9" borderId="8" xfId="0" applyFont="1" applyFill="1" applyBorder="1" applyAlignment="1">
      <alignment horizontal="center" vertical="center" wrapText="1"/>
    </xf>
    <xf numFmtId="0" fontId="30" fillId="9" borderId="2" xfId="0" applyFont="1" applyFill="1" applyBorder="1" applyAlignment="1">
      <alignment horizontal="center" vertical="center" wrapText="1"/>
    </xf>
    <xf numFmtId="0" fontId="30" fillId="9" borderId="9" xfId="0" applyFont="1" applyFill="1" applyBorder="1" applyAlignment="1">
      <alignment horizontal="center" vertical="center" wrapText="1"/>
    </xf>
    <xf numFmtId="0" fontId="30" fillId="9" borderId="76" xfId="0" applyFont="1" applyFill="1" applyBorder="1" applyAlignment="1">
      <alignment horizontal="center" vertical="center" wrapText="1"/>
    </xf>
    <xf numFmtId="0" fontId="30" fillId="9" borderId="77" xfId="0" applyFont="1" applyFill="1" applyBorder="1" applyAlignment="1">
      <alignment horizontal="center" vertical="center" wrapText="1"/>
    </xf>
    <xf numFmtId="0" fontId="30" fillId="9" borderId="78" xfId="0" applyFont="1" applyFill="1" applyBorder="1" applyAlignment="1">
      <alignment horizontal="center" vertical="center" wrapText="1"/>
    </xf>
    <xf numFmtId="0" fontId="20" fillId="9" borderId="4" xfId="0" applyFont="1" applyFill="1" applyBorder="1" applyAlignment="1">
      <alignment horizontal="center" vertical="center" wrapText="1"/>
    </xf>
    <xf numFmtId="0" fontId="20" fillId="9" borderId="5" xfId="0" applyFont="1" applyFill="1" applyBorder="1" applyAlignment="1">
      <alignment horizontal="center" vertical="center" wrapText="1"/>
    </xf>
    <xf numFmtId="165" fontId="15" fillId="3" borderId="73" xfId="0" applyNumberFormat="1" applyFont="1" applyFill="1" applyBorder="1" applyAlignment="1" applyProtection="1">
      <alignment horizontal="center" vertical="center"/>
      <protection locked="0"/>
    </xf>
    <xf numFmtId="165" fontId="15" fillId="3" borderId="20" xfId="0" applyNumberFormat="1" applyFont="1" applyFill="1" applyBorder="1" applyAlignment="1" applyProtection="1">
      <alignment horizontal="center" vertical="center"/>
      <protection locked="0"/>
    </xf>
    <xf numFmtId="0" fontId="20" fillId="9" borderId="28" xfId="0" applyFont="1" applyFill="1" applyBorder="1" applyAlignment="1">
      <alignment horizontal="center" vertical="center" wrapText="1"/>
    </xf>
    <xf numFmtId="0" fontId="20" fillId="9" borderId="29" xfId="0" applyFont="1" applyFill="1" applyBorder="1" applyAlignment="1">
      <alignment horizontal="center" vertical="center" wrapText="1"/>
    </xf>
    <xf numFmtId="165" fontId="15" fillId="3" borderId="18" xfId="0" applyNumberFormat="1" applyFont="1" applyFill="1" applyBorder="1" applyAlignment="1" applyProtection="1">
      <alignment horizontal="center" vertical="center"/>
      <protection locked="0"/>
    </xf>
    <xf numFmtId="165" fontId="15" fillId="3" borderId="72" xfId="0" applyNumberFormat="1" applyFont="1" applyFill="1" applyBorder="1" applyAlignment="1" applyProtection="1">
      <alignment horizontal="center" vertical="center"/>
      <protection locked="0"/>
    </xf>
    <xf numFmtId="0" fontId="29" fillId="9" borderId="11" xfId="0" applyFont="1" applyFill="1" applyBorder="1" applyAlignment="1">
      <alignment horizontal="center" vertical="center"/>
    </xf>
    <xf numFmtId="0" fontId="29" fillId="9" borderId="12" xfId="0" applyFont="1" applyFill="1" applyBorder="1" applyAlignment="1">
      <alignment horizontal="center" vertical="center"/>
    </xf>
    <xf numFmtId="0" fontId="21" fillId="5" borderId="4" xfId="0" applyFont="1" applyFill="1" applyBorder="1" applyAlignment="1">
      <alignment horizontal="center" vertical="center"/>
    </xf>
    <xf numFmtId="0" fontId="21" fillId="5" borderId="5" xfId="0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 vertical="center" shrinkToFit="1"/>
    </xf>
    <xf numFmtId="0" fontId="24" fillId="0" borderId="22" xfId="0" applyFont="1" applyBorder="1" applyAlignment="1">
      <alignment horizontal="center" vertical="center" shrinkToFit="1"/>
    </xf>
    <xf numFmtId="0" fontId="28" fillId="2" borderId="0" xfId="0" applyFont="1" applyFill="1" applyAlignment="1">
      <alignment horizontal="right" vertical="center"/>
    </xf>
    <xf numFmtId="2" fontId="34" fillId="2" borderId="73" xfId="3" applyNumberFormat="1" applyFont="1" applyFill="1" applyBorder="1" applyAlignment="1" applyProtection="1">
      <alignment horizontal="center" vertical="center"/>
    </xf>
    <xf numFmtId="2" fontId="34" fillId="2" borderId="72" xfId="3" applyNumberFormat="1" applyFont="1" applyFill="1" applyBorder="1" applyAlignment="1" applyProtection="1">
      <alignment horizontal="center" vertical="center"/>
    </xf>
    <xf numFmtId="0" fontId="6" fillId="2" borderId="0" xfId="0" applyFont="1" applyFill="1" applyAlignment="1">
      <alignment horizontal="center" vertical="center"/>
    </xf>
    <xf numFmtId="166" fontId="6" fillId="3" borderId="0" xfId="0" applyNumberFormat="1" applyFont="1" applyFill="1" applyAlignment="1" applyProtection="1">
      <alignment horizontal="center" vertical="center"/>
      <protection locked="0"/>
    </xf>
    <xf numFmtId="166" fontId="19" fillId="4" borderId="0" xfId="0" applyNumberFormat="1" applyFont="1" applyFill="1" applyAlignment="1">
      <alignment horizontal="center" vertical="center"/>
    </xf>
    <xf numFmtId="2" fontId="34" fillId="2" borderId="20" xfId="3" applyNumberFormat="1" applyFont="1" applyFill="1" applyBorder="1" applyAlignment="1" applyProtection="1">
      <alignment horizontal="center" vertical="center"/>
    </xf>
    <xf numFmtId="0" fontId="20" fillId="6" borderId="44" xfId="0" applyFont="1" applyFill="1" applyBorder="1" applyAlignment="1">
      <alignment horizontal="center" vertical="center" wrapText="1"/>
    </xf>
    <xf numFmtId="0" fontId="20" fillId="6" borderId="45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right" vertical="center"/>
    </xf>
    <xf numFmtId="0" fontId="19" fillId="2" borderId="0" xfId="0" applyFont="1" applyFill="1" applyAlignment="1">
      <alignment horizontal="left" vertical="center"/>
    </xf>
    <xf numFmtId="2" fontId="24" fillId="0" borderId="94" xfId="0" applyNumberFormat="1" applyFont="1" applyBorder="1" applyAlignment="1">
      <alignment horizontal="center" vertical="center"/>
    </xf>
    <xf numFmtId="0" fontId="24" fillId="0" borderId="95" xfId="0" applyFont="1" applyBorder="1" applyAlignment="1">
      <alignment horizontal="center" vertical="center"/>
    </xf>
    <xf numFmtId="0" fontId="20" fillId="5" borderId="89" xfId="0" applyFont="1" applyFill="1" applyBorder="1" applyAlignment="1">
      <alignment horizontal="center" vertical="center" wrapText="1"/>
    </xf>
    <xf numFmtId="0" fontId="3" fillId="12" borderId="92" xfId="0" applyFont="1" applyFill="1" applyBorder="1" applyAlignment="1">
      <alignment horizontal="left" vertical="center"/>
    </xf>
    <xf numFmtId="0" fontId="3" fillId="12" borderId="93" xfId="0" applyFont="1" applyFill="1" applyBorder="1" applyAlignment="1">
      <alignment horizontal="left" vertical="center"/>
    </xf>
    <xf numFmtId="0" fontId="24" fillId="0" borderId="18" xfId="0" applyFont="1" applyBorder="1" applyAlignment="1">
      <alignment horizontal="center" vertical="center" shrinkToFit="1"/>
    </xf>
    <xf numFmtId="0" fontId="24" fillId="0" borderId="19" xfId="0" applyFont="1" applyBorder="1" applyAlignment="1">
      <alignment horizontal="center" vertical="center" shrinkToFit="1"/>
    </xf>
    <xf numFmtId="0" fontId="16" fillId="3" borderId="24" xfId="0" applyFont="1" applyFill="1" applyBorder="1" applyAlignment="1" applyProtection="1">
      <alignment horizontal="center" vertical="center" shrinkToFit="1"/>
      <protection locked="0"/>
    </xf>
    <xf numFmtId="0" fontId="16" fillId="3" borderId="25" xfId="0" applyFont="1" applyFill="1" applyBorder="1" applyAlignment="1" applyProtection="1">
      <alignment horizontal="center" vertical="center" shrinkToFit="1"/>
      <protection locked="0"/>
    </xf>
    <xf numFmtId="0" fontId="16" fillId="3" borderId="26" xfId="0" applyFont="1" applyFill="1" applyBorder="1" applyAlignment="1" applyProtection="1">
      <alignment horizontal="center" vertical="center" shrinkToFit="1"/>
      <protection locked="0"/>
    </xf>
    <xf numFmtId="0" fontId="16" fillId="3" borderId="21" xfId="0" applyFont="1" applyFill="1" applyBorder="1" applyAlignment="1" applyProtection="1">
      <alignment horizontal="center" vertical="center" shrinkToFit="1"/>
      <protection locked="0"/>
    </xf>
    <xf numFmtId="0" fontId="16" fillId="3" borderId="22" xfId="0" applyFont="1" applyFill="1" applyBorder="1" applyAlignment="1" applyProtection="1">
      <alignment horizontal="center" vertical="center" shrinkToFit="1"/>
      <protection locked="0"/>
    </xf>
    <xf numFmtId="0" fontId="16" fillId="3" borderId="23" xfId="0" applyFont="1" applyFill="1" applyBorder="1" applyAlignment="1" applyProtection="1">
      <alignment horizontal="center" vertical="center" shrinkToFit="1"/>
      <protection locked="0"/>
    </xf>
    <xf numFmtId="0" fontId="20" fillId="6" borderId="4" xfId="0" applyFont="1" applyFill="1" applyBorder="1" applyAlignment="1">
      <alignment horizontal="center" vertical="center" wrapText="1"/>
    </xf>
    <xf numFmtId="0" fontId="20" fillId="6" borderId="5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20" fillId="6" borderId="11" xfId="0" applyFont="1" applyFill="1" applyBorder="1" applyAlignment="1">
      <alignment horizontal="center" vertical="center" wrapText="1"/>
    </xf>
    <xf numFmtId="0" fontId="20" fillId="6" borderId="12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 applyProtection="1">
      <alignment horizontal="center" vertical="center" shrinkToFit="1"/>
      <protection locked="0"/>
    </xf>
    <xf numFmtId="0" fontId="3" fillId="3" borderId="19" xfId="0" applyFont="1" applyFill="1" applyBorder="1" applyAlignment="1" applyProtection="1">
      <alignment horizontal="center" vertical="center" shrinkToFit="1"/>
      <protection locked="0"/>
    </xf>
    <xf numFmtId="0" fontId="3" fillId="3" borderId="21" xfId="0" applyFont="1" applyFill="1" applyBorder="1" applyAlignment="1" applyProtection="1">
      <alignment horizontal="center" vertical="center" shrinkToFit="1"/>
      <protection locked="0"/>
    </xf>
    <xf numFmtId="0" fontId="3" fillId="3" borderId="23" xfId="0" applyFont="1" applyFill="1" applyBorder="1" applyAlignment="1" applyProtection="1">
      <alignment horizontal="center" vertical="center" shrinkToFit="1"/>
      <protection locked="0"/>
    </xf>
    <xf numFmtId="0" fontId="3" fillId="3" borderId="22" xfId="0" applyFont="1" applyFill="1" applyBorder="1" applyAlignment="1" applyProtection="1">
      <alignment horizontal="center" vertical="center" shrinkToFit="1"/>
      <protection locked="0"/>
    </xf>
    <xf numFmtId="0" fontId="21" fillId="6" borderId="28" xfId="0" applyFont="1" applyFill="1" applyBorder="1" applyAlignment="1">
      <alignment horizontal="center" vertical="center" wrapText="1"/>
    </xf>
    <xf numFmtId="0" fontId="21" fillId="6" borderId="29" xfId="0" applyFont="1" applyFill="1" applyBorder="1" applyAlignment="1">
      <alignment horizontal="center" vertical="center" wrapText="1"/>
    </xf>
    <xf numFmtId="0" fontId="16" fillId="3" borderId="18" xfId="0" applyFont="1" applyFill="1" applyBorder="1" applyAlignment="1" applyProtection="1">
      <alignment horizontal="center" vertical="center" shrinkToFit="1"/>
      <protection locked="0"/>
    </xf>
    <xf numFmtId="0" fontId="16" fillId="3" borderId="19" xfId="0" applyFont="1" applyFill="1" applyBorder="1" applyAlignment="1" applyProtection="1">
      <alignment horizontal="center" vertical="center" shrinkToFit="1"/>
      <protection locked="0"/>
    </xf>
    <xf numFmtId="0" fontId="16" fillId="3" borderId="20" xfId="0" applyFont="1" applyFill="1" applyBorder="1" applyAlignment="1" applyProtection="1">
      <alignment horizontal="center" vertical="center" shrinkToFit="1"/>
      <protection locked="0"/>
    </xf>
    <xf numFmtId="0" fontId="30" fillId="6" borderId="8" xfId="0" applyFont="1" applyFill="1" applyBorder="1" applyAlignment="1">
      <alignment horizontal="center" vertical="center" wrapText="1"/>
    </xf>
    <xf numFmtId="0" fontId="30" fillId="6" borderId="2" xfId="0" applyFont="1" applyFill="1" applyBorder="1" applyAlignment="1">
      <alignment horizontal="center" vertical="center" wrapText="1"/>
    </xf>
    <xf numFmtId="0" fontId="30" fillId="6" borderId="9" xfId="0" applyFont="1" applyFill="1" applyBorder="1" applyAlignment="1">
      <alignment horizontal="center" vertical="center" wrapText="1"/>
    </xf>
    <xf numFmtId="0" fontId="30" fillId="6" borderId="11" xfId="0" applyFont="1" applyFill="1" applyBorder="1" applyAlignment="1">
      <alignment horizontal="center" vertical="center" wrapText="1"/>
    </xf>
    <xf numFmtId="0" fontId="30" fillId="6" borderId="12" xfId="0" applyFont="1" applyFill="1" applyBorder="1" applyAlignment="1">
      <alignment horizontal="center" vertical="center" wrapText="1"/>
    </xf>
    <xf numFmtId="0" fontId="30" fillId="6" borderId="13" xfId="0" applyFont="1" applyFill="1" applyBorder="1" applyAlignment="1">
      <alignment horizontal="center" vertical="center" wrapText="1"/>
    </xf>
    <xf numFmtId="0" fontId="10" fillId="3" borderId="49" xfId="0" applyFont="1" applyFill="1" applyBorder="1" applyAlignment="1" applyProtection="1">
      <alignment horizontal="center" vertical="center" wrapText="1"/>
      <protection locked="0"/>
    </xf>
    <xf numFmtId="0" fontId="10" fillId="3" borderId="50" xfId="0" applyFont="1" applyFill="1" applyBorder="1" applyAlignment="1" applyProtection="1">
      <alignment horizontal="center" vertical="center" wrapText="1"/>
      <protection locked="0"/>
    </xf>
    <xf numFmtId="0" fontId="10" fillId="3" borderId="51" xfId="0" applyFont="1" applyFill="1" applyBorder="1" applyAlignment="1" applyProtection="1">
      <alignment horizontal="center" vertical="center" wrapText="1"/>
      <protection locked="0"/>
    </xf>
    <xf numFmtId="0" fontId="18" fillId="5" borderId="47" xfId="0" applyFont="1" applyFill="1" applyBorder="1" applyAlignment="1">
      <alignment horizontal="center" vertical="center" wrapText="1"/>
    </xf>
    <xf numFmtId="0" fontId="18" fillId="5" borderId="48" xfId="0" applyFont="1" applyFill="1" applyBorder="1" applyAlignment="1">
      <alignment horizontal="center" vertical="center" wrapText="1"/>
    </xf>
    <xf numFmtId="0" fontId="20" fillId="6" borderId="27" xfId="0" applyFont="1" applyFill="1" applyBorder="1" applyAlignment="1">
      <alignment horizontal="center" vertical="center" wrapText="1"/>
    </xf>
    <xf numFmtId="0" fontId="20" fillId="6" borderId="28" xfId="0" applyFont="1" applyFill="1" applyBorder="1" applyAlignment="1">
      <alignment horizontal="center" vertical="center" wrapText="1"/>
    </xf>
    <xf numFmtId="2" fontId="38" fillId="2" borderId="30" xfId="3" applyNumberFormat="1" applyFont="1" applyFill="1" applyBorder="1" applyAlignment="1" applyProtection="1">
      <alignment horizontal="center" vertical="center"/>
    </xf>
    <xf numFmtId="2" fontId="38" fillId="2" borderId="32" xfId="3" applyNumberFormat="1" applyFont="1" applyFill="1" applyBorder="1" applyAlignment="1" applyProtection="1">
      <alignment horizontal="center" vertical="center"/>
    </xf>
    <xf numFmtId="2" fontId="38" fillId="2" borderId="35" xfId="3" applyNumberFormat="1" applyFont="1" applyFill="1" applyBorder="1" applyAlignment="1" applyProtection="1">
      <alignment horizontal="center" vertical="center"/>
    </xf>
    <xf numFmtId="0" fontId="21" fillId="5" borderId="27" xfId="0" applyFont="1" applyFill="1" applyBorder="1" applyAlignment="1">
      <alignment horizontal="center" vertical="center" wrapText="1"/>
    </xf>
    <xf numFmtId="0" fontId="21" fillId="5" borderId="29" xfId="0" applyFont="1" applyFill="1" applyBorder="1" applyAlignment="1">
      <alignment horizontal="center" vertical="center" wrapText="1"/>
    </xf>
    <xf numFmtId="0" fontId="21" fillId="6" borderId="27" xfId="0" applyFont="1" applyFill="1" applyBorder="1" applyAlignment="1">
      <alignment horizontal="center" vertical="center" wrapText="1"/>
    </xf>
    <xf numFmtId="2" fontId="38" fillId="2" borderId="31" xfId="3" applyNumberFormat="1" applyFont="1" applyFill="1" applyBorder="1" applyAlignment="1" applyProtection="1">
      <alignment horizontal="center" vertical="center"/>
    </xf>
    <xf numFmtId="14" fontId="14" fillId="3" borderId="55" xfId="0" applyNumberFormat="1" applyFont="1" applyFill="1" applyBorder="1" applyAlignment="1" applyProtection="1">
      <alignment horizontal="center" vertical="center" wrapText="1"/>
      <protection locked="0"/>
    </xf>
    <xf numFmtId="14" fontId="14" fillId="3" borderId="54" xfId="0" applyNumberFormat="1" applyFont="1" applyFill="1" applyBorder="1" applyAlignment="1" applyProtection="1">
      <alignment horizontal="center" vertical="center" wrapText="1"/>
      <protection locked="0"/>
    </xf>
    <xf numFmtId="14" fontId="14" fillId="3" borderId="56" xfId="0" applyNumberFormat="1" applyFont="1" applyFill="1" applyBorder="1" applyAlignment="1" applyProtection="1">
      <alignment horizontal="center" vertical="center" wrapText="1"/>
      <protection locked="0"/>
    </xf>
    <xf numFmtId="14" fontId="14" fillId="3" borderId="57" xfId="0" applyNumberFormat="1" applyFont="1" applyFill="1" applyBorder="1" applyAlignment="1" applyProtection="1">
      <alignment horizontal="center" vertical="center" wrapText="1"/>
      <protection locked="0"/>
    </xf>
    <xf numFmtId="14" fontId="14" fillId="3" borderId="0" xfId="0" applyNumberFormat="1" applyFont="1" applyFill="1" applyAlignment="1" applyProtection="1">
      <alignment horizontal="center" vertical="center" wrapText="1"/>
      <protection locked="0"/>
    </xf>
    <xf numFmtId="14" fontId="14" fillId="3" borderId="53" xfId="0" applyNumberFormat="1" applyFont="1" applyFill="1" applyBorder="1" applyAlignment="1" applyProtection="1">
      <alignment horizontal="center" vertical="center" wrapText="1"/>
      <protection locked="0"/>
    </xf>
    <xf numFmtId="14" fontId="14" fillId="3" borderId="47" xfId="0" applyNumberFormat="1" applyFont="1" applyFill="1" applyBorder="1" applyAlignment="1" applyProtection="1">
      <alignment horizontal="center" vertical="center" wrapText="1"/>
      <protection locked="0"/>
    </xf>
    <xf numFmtId="14" fontId="14" fillId="3" borderId="48" xfId="0" applyNumberFormat="1" applyFont="1" applyFill="1" applyBorder="1" applyAlignment="1" applyProtection="1">
      <alignment horizontal="center" vertical="center" wrapText="1"/>
      <protection locked="0"/>
    </xf>
    <xf numFmtId="14" fontId="14" fillId="3" borderId="58" xfId="0" applyNumberFormat="1" applyFont="1" applyFill="1" applyBorder="1" applyAlignment="1" applyProtection="1">
      <alignment horizontal="center" vertical="center" wrapText="1"/>
      <protection locked="0"/>
    </xf>
    <xf numFmtId="0" fontId="23" fillId="0" borderId="55" xfId="0" applyFont="1" applyBorder="1" applyAlignment="1">
      <alignment horizontal="center" vertical="center" wrapText="1"/>
    </xf>
    <xf numFmtId="0" fontId="23" fillId="0" borderId="54" xfId="0" applyFont="1" applyBorder="1" applyAlignment="1">
      <alignment horizontal="center" vertical="center" wrapText="1"/>
    </xf>
    <xf numFmtId="0" fontId="23" fillId="0" borderId="56" xfId="0" applyFont="1" applyBorder="1" applyAlignment="1">
      <alignment horizontal="center" vertical="center" wrapText="1"/>
    </xf>
    <xf numFmtId="0" fontId="23" fillId="0" borderId="57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53" xfId="0" applyFont="1" applyBorder="1" applyAlignment="1">
      <alignment horizontal="center" vertical="center" wrapText="1"/>
    </xf>
    <xf numFmtId="0" fontId="23" fillId="0" borderId="47" xfId="0" applyFont="1" applyBorder="1" applyAlignment="1">
      <alignment horizontal="center" vertical="center" wrapText="1"/>
    </xf>
    <xf numFmtId="0" fontId="23" fillId="0" borderId="48" xfId="0" applyFont="1" applyBorder="1" applyAlignment="1">
      <alignment horizontal="center" vertical="center" wrapText="1"/>
    </xf>
    <xf numFmtId="0" fontId="23" fillId="0" borderId="58" xfId="0" applyFont="1" applyBorder="1" applyAlignment="1">
      <alignment horizontal="center" vertical="center" wrapText="1"/>
    </xf>
    <xf numFmtId="0" fontId="36" fillId="0" borderId="0" xfId="0" applyFont="1" applyAlignment="1">
      <alignment horizontal="center" wrapText="1"/>
    </xf>
    <xf numFmtId="0" fontId="36" fillId="0" borderId="53" xfId="0" applyFont="1" applyBorder="1" applyAlignment="1">
      <alignment horizontal="center" wrapText="1"/>
    </xf>
    <xf numFmtId="0" fontId="30" fillId="6" borderId="14" xfId="0" applyFont="1" applyFill="1" applyBorder="1" applyAlignment="1">
      <alignment horizontal="center" vertical="center" textRotation="90"/>
    </xf>
    <xf numFmtId="0" fontId="30" fillId="6" borderId="46" xfId="0" applyFont="1" applyFill="1" applyBorder="1" applyAlignment="1">
      <alignment horizontal="center" vertical="center" textRotation="90"/>
    </xf>
    <xf numFmtId="0" fontId="30" fillId="6" borderId="43" xfId="0" applyFont="1" applyFill="1" applyBorder="1" applyAlignment="1">
      <alignment horizontal="center" vertical="center" textRotation="90"/>
    </xf>
    <xf numFmtId="0" fontId="33" fillId="0" borderId="10" xfId="0" quotePrefix="1" applyFont="1" applyBorder="1" applyAlignment="1">
      <alignment horizontal="center" vertical="center" textRotation="90" wrapText="1"/>
    </xf>
    <xf numFmtId="0" fontId="33" fillId="0" borderId="10" xfId="0" quotePrefix="1" applyFont="1" applyBorder="1" applyAlignment="1">
      <alignment horizontal="center" vertical="center" textRotation="90"/>
    </xf>
    <xf numFmtId="0" fontId="30" fillId="9" borderId="14" xfId="0" applyFont="1" applyFill="1" applyBorder="1" applyAlignment="1">
      <alignment horizontal="center" vertical="center" textRotation="90"/>
    </xf>
    <xf numFmtId="0" fontId="30" fillId="9" borderId="46" xfId="0" applyFont="1" applyFill="1" applyBorder="1" applyAlignment="1">
      <alignment horizontal="center" vertical="center" textRotation="90"/>
    </xf>
    <xf numFmtId="0" fontId="30" fillId="9" borderId="43" xfId="0" applyFont="1" applyFill="1" applyBorder="1" applyAlignment="1">
      <alignment horizontal="center" vertical="center" textRotation="90"/>
    </xf>
    <xf numFmtId="0" fontId="20" fillId="9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 applyProtection="1">
      <alignment horizontal="center" vertical="center" shrinkToFit="1"/>
      <protection locked="0"/>
    </xf>
    <xf numFmtId="0" fontId="3" fillId="3" borderId="25" xfId="0" applyFont="1" applyFill="1" applyBorder="1" applyAlignment="1" applyProtection="1">
      <alignment horizontal="center" vertical="center" shrinkToFit="1"/>
      <protection locked="0"/>
    </xf>
    <xf numFmtId="0" fontId="31" fillId="0" borderId="8" xfId="0" applyFont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 shrinkToFit="1"/>
    </xf>
    <xf numFmtId="0" fontId="24" fillId="0" borderId="25" xfId="0" applyFont="1" applyBorder="1" applyAlignment="1">
      <alignment horizontal="center" vertical="center" shrinkToFit="1"/>
    </xf>
    <xf numFmtId="0" fontId="3" fillId="12" borderId="4" xfId="0" applyFont="1" applyFill="1" applyBorder="1" applyAlignment="1">
      <alignment horizontal="left" vertical="center"/>
    </xf>
    <xf numFmtId="0" fontId="3" fillId="12" borderId="5" xfId="0" applyFont="1" applyFill="1" applyBorder="1" applyAlignment="1">
      <alignment horizontal="left" vertical="center"/>
    </xf>
    <xf numFmtId="0" fontId="3" fillId="12" borderId="1" xfId="0" applyFont="1" applyFill="1" applyBorder="1" applyAlignment="1">
      <alignment horizontal="left" vertical="center"/>
    </xf>
    <xf numFmtId="2" fontId="35" fillId="12" borderId="7" xfId="0" applyNumberFormat="1" applyFont="1" applyFill="1" applyBorder="1" applyAlignment="1">
      <alignment horizontal="left" vertical="center"/>
    </xf>
    <xf numFmtId="0" fontId="35" fillId="12" borderId="7" xfId="0" applyFont="1" applyFill="1" applyBorder="1" applyAlignment="1">
      <alignment horizontal="left" vertical="center"/>
    </xf>
    <xf numFmtId="0" fontId="29" fillId="6" borderId="4" xfId="0" applyFont="1" applyFill="1" applyBorder="1" applyAlignment="1">
      <alignment horizontal="center" vertical="center"/>
    </xf>
    <xf numFmtId="0" fontId="29" fillId="6" borderId="5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0" fontId="20" fillId="5" borderId="90" xfId="0" applyFont="1" applyFill="1" applyBorder="1" applyAlignment="1">
      <alignment horizontal="center" vertical="center" wrapText="1"/>
    </xf>
    <xf numFmtId="0" fontId="20" fillId="5" borderId="91" xfId="0" applyFont="1" applyFill="1" applyBorder="1" applyAlignment="1">
      <alignment horizontal="center" vertical="center" wrapText="1"/>
    </xf>
    <xf numFmtId="1" fontId="24" fillId="0" borderId="24" xfId="0" applyNumberFormat="1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0" fillId="9" borderId="14" xfId="0" applyFont="1" applyFill="1" applyBorder="1" applyAlignment="1">
      <alignment horizontal="center" vertical="center" wrapText="1"/>
    </xf>
    <xf numFmtId="0" fontId="20" fillId="9" borderId="46" xfId="0" applyFont="1" applyFill="1" applyBorder="1" applyAlignment="1">
      <alignment horizontal="center" vertical="center" wrapText="1"/>
    </xf>
    <xf numFmtId="0" fontId="20" fillId="9" borderId="43" xfId="0" applyFont="1" applyFill="1" applyBorder="1" applyAlignment="1">
      <alignment horizontal="center" vertical="center" wrapText="1"/>
    </xf>
    <xf numFmtId="0" fontId="20" fillId="9" borderId="68" xfId="0" applyFont="1" applyFill="1" applyBorder="1" applyAlignment="1">
      <alignment horizontal="center" vertical="center" wrapText="1"/>
    </xf>
    <xf numFmtId="0" fontId="20" fillId="9" borderId="69" xfId="0" applyFont="1" applyFill="1" applyBorder="1" applyAlignment="1">
      <alignment horizontal="center" vertical="center" wrapText="1"/>
    </xf>
    <xf numFmtId="0" fontId="20" fillId="9" borderId="59" xfId="0" applyFont="1" applyFill="1" applyBorder="1" applyAlignment="1">
      <alignment horizontal="center" vertical="center" wrapText="1"/>
    </xf>
    <xf numFmtId="0" fontId="20" fillId="9" borderId="60" xfId="0" applyFont="1" applyFill="1" applyBorder="1" applyAlignment="1">
      <alignment horizontal="center" vertical="center" wrapText="1"/>
    </xf>
    <xf numFmtId="165" fontId="15" fillId="3" borderId="34" xfId="0" applyNumberFormat="1" applyFont="1" applyFill="1" applyBorder="1" applyAlignment="1" applyProtection="1">
      <alignment horizontal="center" vertical="center"/>
      <protection locked="0"/>
    </xf>
    <xf numFmtId="165" fontId="15" fillId="3" borderId="35" xfId="0" applyNumberFormat="1" applyFont="1" applyFill="1" applyBorder="1" applyAlignment="1" applyProtection="1">
      <alignment horizontal="center" vertical="center"/>
      <protection locked="0"/>
    </xf>
    <xf numFmtId="165" fontId="15" fillId="3" borderId="33" xfId="0" applyNumberFormat="1" applyFont="1" applyFill="1" applyBorder="1" applyAlignment="1" applyProtection="1">
      <alignment horizontal="center" vertical="center"/>
      <protection locked="0"/>
    </xf>
    <xf numFmtId="0" fontId="24" fillId="3" borderId="21" xfId="0" applyFont="1" applyFill="1" applyBorder="1" applyAlignment="1" applyProtection="1">
      <alignment horizontal="center" vertical="center"/>
      <protection locked="0"/>
    </xf>
    <xf numFmtId="0" fontId="24" fillId="3" borderId="22" xfId="0" applyFont="1" applyFill="1" applyBorder="1" applyAlignment="1" applyProtection="1">
      <alignment horizontal="center" vertical="center"/>
      <protection locked="0"/>
    </xf>
    <xf numFmtId="0" fontId="24" fillId="3" borderId="23" xfId="0" applyFont="1" applyFill="1" applyBorder="1" applyAlignment="1" applyProtection="1">
      <alignment horizontal="center" vertical="center"/>
      <protection locked="0"/>
    </xf>
    <xf numFmtId="0" fontId="20" fillId="5" borderId="62" xfId="0" applyFont="1" applyFill="1" applyBorder="1" applyAlignment="1">
      <alignment horizontal="center" vertical="center" wrapText="1"/>
    </xf>
    <xf numFmtId="0" fontId="20" fillId="5" borderId="64" xfId="0" applyFont="1" applyFill="1" applyBorder="1" applyAlignment="1">
      <alignment horizontal="center" vertical="center" wrapText="1"/>
    </xf>
    <xf numFmtId="1" fontId="24" fillId="0" borderId="18" xfId="0" applyNumberFormat="1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1" fontId="24" fillId="0" borderId="21" xfId="0" applyNumberFormat="1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2" fontId="34" fillId="2" borderId="36" xfId="3" applyNumberFormat="1" applyFont="1" applyFill="1" applyBorder="1" applyAlignment="1" applyProtection="1">
      <alignment horizontal="center" vertical="center"/>
    </xf>
    <xf numFmtId="0" fontId="30" fillId="9" borderId="2" xfId="0" applyFont="1" applyFill="1" applyBorder="1" applyAlignment="1">
      <alignment horizontal="center" vertical="center" textRotation="90"/>
    </xf>
    <xf numFmtId="0" fontId="30" fillId="9" borderId="0" xfId="0" applyFont="1" applyFill="1" applyAlignment="1">
      <alignment horizontal="center" vertical="center" textRotation="90"/>
    </xf>
    <xf numFmtId="0" fontId="20" fillId="5" borderId="66" xfId="0" applyFont="1" applyFill="1" applyBorder="1" applyAlignment="1">
      <alignment horizontal="center" vertical="center" wrapText="1"/>
    </xf>
    <xf numFmtId="0" fontId="20" fillId="5" borderId="67" xfId="0" applyFont="1" applyFill="1" applyBorder="1" applyAlignment="1">
      <alignment horizontal="center" vertical="center" wrapText="1"/>
    </xf>
    <xf numFmtId="2" fontId="25" fillId="0" borderId="38" xfId="0" applyNumberFormat="1" applyFont="1" applyBorder="1" applyAlignment="1">
      <alignment horizontal="center" vertical="center"/>
    </xf>
    <xf numFmtId="2" fontId="25" fillId="0" borderId="39" xfId="0" applyNumberFormat="1" applyFont="1" applyBorder="1" applyAlignment="1">
      <alignment horizontal="center" vertical="center"/>
    </xf>
    <xf numFmtId="165" fontId="15" fillId="3" borderId="52" xfId="0" applyNumberFormat="1" applyFont="1" applyFill="1" applyBorder="1" applyAlignment="1" applyProtection="1">
      <alignment horizontal="center" vertical="center"/>
      <protection locked="0"/>
    </xf>
    <xf numFmtId="165" fontId="15" fillId="3" borderId="36" xfId="0" applyNumberFormat="1" applyFont="1" applyFill="1" applyBorder="1" applyAlignment="1" applyProtection="1">
      <alignment horizontal="center" vertical="center"/>
      <protection locked="0"/>
    </xf>
    <xf numFmtId="165" fontId="15" fillId="3" borderId="37" xfId="0" applyNumberFormat="1" applyFont="1" applyFill="1" applyBorder="1" applyAlignment="1" applyProtection="1">
      <alignment horizontal="center" vertical="center"/>
      <protection locked="0"/>
    </xf>
    <xf numFmtId="2" fontId="34" fillId="2" borderId="37" xfId="3" applyNumberFormat="1" applyFont="1" applyFill="1" applyBorder="1" applyAlignment="1" applyProtection="1">
      <alignment horizontal="center" vertical="center"/>
    </xf>
    <xf numFmtId="0" fontId="30" fillId="5" borderId="0" xfId="0" applyFont="1" applyFill="1" applyAlignment="1">
      <alignment horizontal="center" vertical="center"/>
    </xf>
    <xf numFmtId="0" fontId="30" fillId="5" borderId="10" xfId="0" applyFont="1" applyFill="1" applyBorder="1" applyAlignment="1">
      <alignment horizontal="center" vertical="center"/>
    </xf>
    <xf numFmtId="0" fontId="30" fillId="5" borderId="12" xfId="0" applyFont="1" applyFill="1" applyBorder="1" applyAlignment="1">
      <alignment horizontal="center" vertical="center"/>
    </xf>
    <xf numFmtId="0" fontId="30" fillId="5" borderId="13" xfId="0" applyFont="1" applyFill="1" applyBorder="1" applyAlignment="1">
      <alignment horizontal="center" vertical="center"/>
    </xf>
    <xf numFmtId="2" fontId="34" fillId="2" borderId="34" xfId="3" applyNumberFormat="1" applyFont="1" applyFill="1" applyBorder="1" applyAlignment="1" applyProtection="1">
      <alignment horizontal="center" vertical="center"/>
    </xf>
    <xf numFmtId="2" fontId="34" fillId="2" borderId="35" xfId="3" applyNumberFormat="1" applyFont="1" applyFill="1" applyBorder="1" applyAlignment="1" applyProtection="1">
      <alignment horizontal="center" vertical="center"/>
    </xf>
    <xf numFmtId="165" fontId="15" fillId="3" borderId="30" xfId="0" applyNumberFormat="1" applyFont="1" applyFill="1" applyBorder="1" applyAlignment="1" applyProtection="1">
      <alignment horizontal="center" vertical="center"/>
      <protection locked="0"/>
    </xf>
    <xf numFmtId="165" fontId="15" fillId="3" borderId="31" xfId="0" applyNumberFormat="1" applyFont="1" applyFill="1" applyBorder="1" applyAlignment="1" applyProtection="1">
      <alignment horizontal="center" vertical="center"/>
      <protection locked="0"/>
    </xf>
    <xf numFmtId="165" fontId="15" fillId="3" borderId="32" xfId="0" applyNumberFormat="1" applyFont="1" applyFill="1" applyBorder="1" applyAlignment="1" applyProtection="1">
      <alignment horizontal="center" vertical="center"/>
      <protection locked="0"/>
    </xf>
    <xf numFmtId="2" fontId="34" fillId="2" borderId="31" xfId="3" applyNumberFormat="1" applyFont="1" applyFill="1" applyBorder="1" applyAlignment="1" applyProtection="1">
      <alignment horizontal="center" vertical="center"/>
    </xf>
    <xf numFmtId="2" fontId="34" fillId="2" borderId="32" xfId="3" applyNumberFormat="1" applyFont="1" applyFill="1" applyBorder="1" applyAlignment="1" applyProtection="1">
      <alignment horizontal="center" vertical="center"/>
    </xf>
    <xf numFmtId="0" fontId="21" fillId="9" borderId="69" xfId="0" applyFont="1" applyFill="1" applyBorder="1" applyAlignment="1">
      <alignment horizontal="center" vertical="center" wrapText="1"/>
    </xf>
    <xf numFmtId="0" fontId="21" fillId="9" borderId="60" xfId="0" applyFont="1" applyFill="1" applyBorder="1" applyAlignment="1">
      <alignment horizontal="center" vertical="center" wrapText="1"/>
    </xf>
    <xf numFmtId="0" fontId="21" fillId="9" borderId="70" xfId="0" applyFont="1" applyFill="1" applyBorder="1" applyAlignment="1">
      <alignment horizontal="center" vertical="center" wrapText="1"/>
    </xf>
    <xf numFmtId="0" fontId="21" fillId="9" borderId="61" xfId="0" applyFont="1" applyFill="1" applyBorder="1" applyAlignment="1">
      <alignment horizontal="center" vertical="center" wrapText="1"/>
    </xf>
    <xf numFmtId="0" fontId="21" fillId="5" borderId="62" xfId="0" applyFont="1" applyFill="1" applyBorder="1" applyAlignment="1">
      <alignment horizontal="center" vertical="center" wrapText="1"/>
    </xf>
    <xf numFmtId="0" fontId="21" fillId="5" borderId="64" xfId="0" applyFont="1" applyFill="1" applyBorder="1" applyAlignment="1">
      <alignment horizontal="center" vertical="center" wrapText="1"/>
    </xf>
    <xf numFmtId="0" fontId="21" fillId="5" borderId="63" xfId="0" applyFont="1" applyFill="1" applyBorder="1" applyAlignment="1">
      <alignment horizontal="center" vertical="center" wrapText="1"/>
    </xf>
    <xf numFmtId="0" fontId="21" fillId="5" borderId="65" xfId="0" applyFont="1" applyFill="1" applyBorder="1" applyAlignment="1">
      <alignment horizontal="center" vertical="center" wrapText="1"/>
    </xf>
    <xf numFmtId="0" fontId="30" fillId="9" borderId="12" xfId="0" applyFont="1" applyFill="1" applyBorder="1" applyAlignment="1">
      <alignment horizontal="left" vertical="center"/>
    </xf>
    <xf numFmtId="0" fontId="30" fillId="9" borderId="13" xfId="0" applyFont="1" applyFill="1" applyBorder="1" applyAlignment="1">
      <alignment horizontal="left" vertical="center"/>
    </xf>
    <xf numFmtId="0" fontId="29" fillId="8" borderId="11" xfId="0" applyFont="1" applyFill="1" applyBorder="1" applyAlignment="1">
      <alignment horizontal="center" vertical="center"/>
    </xf>
    <xf numFmtId="0" fontId="29" fillId="8" borderId="12" xfId="0" applyFont="1" applyFill="1" applyBorder="1" applyAlignment="1">
      <alignment horizontal="center" vertical="center"/>
    </xf>
    <xf numFmtId="0" fontId="30" fillId="8" borderId="8" xfId="0" applyFont="1" applyFill="1" applyBorder="1" applyAlignment="1">
      <alignment horizontal="center" vertical="center" wrapText="1"/>
    </xf>
    <xf numFmtId="0" fontId="30" fillId="8" borderId="2" xfId="0" applyFont="1" applyFill="1" applyBorder="1" applyAlignment="1">
      <alignment horizontal="center" vertical="center" wrapText="1"/>
    </xf>
    <xf numFmtId="0" fontId="30" fillId="8" borderId="9" xfId="0" applyFont="1" applyFill="1" applyBorder="1" applyAlignment="1">
      <alignment horizontal="center" vertical="center" wrapText="1"/>
    </xf>
    <xf numFmtId="0" fontId="30" fillId="8" borderId="11" xfId="0" applyFont="1" applyFill="1" applyBorder="1" applyAlignment="1">
      <alignment horizontal="center" vertical="center" wrapText="1"/>
    </xf>
    <xf numFmtId="0" fontId="30" fillId="8" borderId="12" xfId="0" applyFont="1" applyFill="1" applyBorder="1" applyAlignment="1">
      <alignment horizontal="center" vertical="center" wrapText="1"/>
    </xf>
    <xf numFmtId="0" fontId="30" fillId="8" borderId="13" xfId="0" applyFont="1" applyFill="1" applyBorder="1" applyAlignment="1">
      <alignment horizontal="center" vertical="center" wrapText="1"/>
    </xf>
    <xf numFmtId="1" fontId="35" fillId="4" borderId="17" xfId="0" applyNumberFormat="1" applyFont="1" applyFill="1" applyBorder="1" applyAlignment="1">
      <alignment horizontal="center" vertical="center"/>
    </xf>
    <xf numFmtId="0" fontId="3" fillId="3" borderId="21" xfId="0" applyFont="1" applyFill="1" applyBorder="1" applyAlignment="1" applyProtection="1">
      <alignment horizontal="center" vertical="center"/>
      <protection locked="0"/>
    </xf>
    <xf numFmtId="0" fontId="3" fillId="3" borderId="22" xfId="0" applyFont="1" applyFill="1" applyBorder="1" applyAlignment="1" applyProtection="1">
      <alignment horizontal="center" vertical="center"/>
      <protection locked="0"/>
    </xf>
    <xf numFmtId="0" fontId="3" fillId="3" borderId="23" xfId="0" applyFont="1" applyFill="1" applyBorder="1" applyAlignment="1" applyProtection="1">
      <alignment horizontal="center" vertical="center"/>
      <protection locked="0"/>
    </xf>
    <xf numFmtId="1" fontId="35" fillId="4" borderId="16" xfId="0" applyNumberFormat="1" applyFont="1" applyFill="1" applyBorder="1" applyAlignment="1">
      <alignment horizontal="center" vertical="center"/>
    </xf>
    <xf numFmtId="0" fontId="24" fillId="3" borderId="18" xfId="0" applyFont="1" applyFill="1" applyBorder="1" applyAlignment="1" applyProtection="1">
      <alignment horizontal="center" vertical="center"/>
      <protection locked="0"/>
    </xf>
    <xf numFmtId="0" fontId="24" fillId="3" borderId="19" xfId="0" applyFont="1" applyFill="1" applyBorder="1" applyAlignment="1" applyProtection="1">
      <alignment horizontal="center" vertical="center"/>
      <protection locked="0"/>
    </xf>
    <xf numFmtId="0" fontId="24" fillId="3" borderId="20" xfId="0" applyFont="1" applyFill="1" applyBorder="1" applyAlignment="1" applyProtection="1">
      <alignment horizontal="center" vertical="center"/>
      <protection locked="0"/>
    </xf>
    <xf numFmtId="0" fontId="3" fillId="3" borderId="18" xfId="0" applyFont="1" applyFill="1" applyBorder="1" applyAlignment="1" applyProtection="1">
      <alignment horizontal="center" vertical="center"/>
      <protection locked="0"/>
    </xf>
    <xf numFmtId="0" fontId="3" fillId="3" borderId="19" xfId="0" applyFont="1" applyFill="1" applyBorder="1" applyAlignment="1" applyProtection="1">
      <alignment horizontal="center" vertical="center"/>
      <protection locked="0"/>
    </xf>
    <xf numFmtId="0" fontId="3" fillId="3" borderId="20" xfId="0" applyFont="1" applyFill="1" applyBorder="1" applyAlignment="1" applyProtection="1">
      <alignment horizontal="center" vertical="center"/>
      <protection locked="0"/>
    </xf>
    <xf numFmtId="1" fontId="35" fillId="4" borderId="15" xfId="0" applyNumberFormat="1" applyFont="1" applyFill="1" applyBorder="1" applyAlignment="1">
      <alignment horizontal="center" vertical="center"/>
    </xf>
    <xf numFmtId="1" fontId="25" fillId="4" borderId="7" xfId="0" applyNumberFormat="1" applyFont="1" applyFill="1" applyBorder="1" applyAlignment="1">
      <alignment horizontal="center" vertical="center"/>
    </xf>
    <xf numFmtId="0" fontId="3" fillId="3" borderId="24" xfId="0" applyFont="1" applyFill="1" applyBorder="1" applyAlignment="1" applyProtection="1">
      <alignment horizontal="center" vertical="center"/>
      <protection locked="0"/>
    </xf>
    <xf numFmtId="0" fontId="3" fillId="3" borderId="25" xfId="0" applyFont="1" applyFill="1" applyBorder="1" applyAlignment="1" applyProtection="1">
      <alignment horizontal="center" vertical="center"/>
      <protection locked="0"/>
    </xf>
    <xf numFmtId="0" fontId="3" fillId="3" borderId="26" xfId="0" applyFont="1" applyFill="1" applyBorder="1" applyAlignment="1" applyProtection="1">
      <alignment horizontal="center" vertical="center"/>
      <protection locked="0"/>
    </xf>
    <xf numFmtId="0" fontId="20" fillId="8" borderId="14" xfId="0" applyFont="1" applyFill="1" applyBorder="1" applyAlignment="1">
      <alignment horizontal="center" vertical="center" wrapText="1"/>
    </xf>
    <xf numFmtId="0" fontId="30" fillId="9" borderId="2" xfId="0" applyFont="1" applyFill="1" applyBorder="1" applyAlignment="1">
      <alignment horizontal="left" vertical="center"/>
    </xf>
    <xf numFmtId="0" fontId="30" fillId="9" borderId="9" xfId="0" applyFont="1" applyFill="1" applyBorder="1" applyAlignment="1">
      <alignment horizontal="left" vertical="center"/>
    </xf>
    <xf numFmtId="0" fontId="30" fillId="9" borderId="5" xfId="0" applyFont="1" applyFill="1" applyBorder="1" applyAlignment="1">
      <alignment horizontal="left" vertical="center"/>
    </xf>
    <xf numFmtId="0" fontId="30" fillId="9" borderId="1" xfId="0" applyFont="1" applyFill="1" applyBorder="1" applyAlignment="1">
      <alignment horizontal="left" vertical="center"/>
    </xf>
    <xf numFmtId="0" fontId="24" fillId="3" borderId="24" xfId="0" applyFont="1" applyFill="1" applyBorder="1" applyAlignment="1" applyProtection="1">
      <alignment horizontal="center" vertical="center"/>
      <protection locked="0"/>
    </xf>
    <xf numFmtId="0" fontId="24" fillId="3" borderId="25" xfId="0" applyFont="1" applyFill="1" applyBorder="1" applyAlignment="1" applyProtection="1">
      <alignment horizontal="center" vertical="center"/>
      <protection locked="0"/>
    </xf>
    <xf numFmtId="0" fontId="24" fillId="3" borderId="26" xfId="0" applyFont="1" applyFill="1" applyBorder="1" applyAlignment="1" applyProtection="1">
      <alignment horizontal="center" vertical="center"/>
      <protection locked="0"/>
    </xf>
    <xf numFmtId="0" fontId="20" fillId="8" borderId="4" xfId="0" applyFont="1" applyFill="1" applyBorder="1" applyAlignment="1">
      <alignment horizontal="center" vertical="center" wrapText="1"/>
    </xf>
    <xf numFmtId="0" fontId="20" fillId="8" borderId="5" xfId="0" applyFont="1" applyFill="1" applyBorder="1" applyAlignment="1">
      <alignment horizontal="center" vertical="center" wrapText="1"/>
    </xf>
    <xf numFmtId="0" fontId="20" fillId="8" borderId="1" xfId="0" applyFont="1" applyFill="1" applyBorder="1" applyAlignment="1">
      <alignment horizontal="center" vertical="center" wrapText="1"/>
    </xf>
    <xf numFmtId="0" fontId="35" fillId="0" borderId="24" xfId="0" applyFont="1" applyBorder="1" applyAlignment="1">
      <alignment horizontal="center" vertical="center" shrinkToFit="1"/>
    </xf>
    <xf numFmtId="0" fontId="35" fillId="0" borderId="25" xfId="0" applyFont="1" applyBorder="1" applyAlignment="1">
      <alignment horizontal="center" vertical="center" shrinkToFit="1"/>
    </xf>
    <xf numFmtId="0" fontId="35" fillId="0" borderId="21" xfId="0" applyFont="1" applyBorder="1" applyAlignment="1">
      <alignment horizontal="center" vertical="center" shrinkToFit="1"/>
    </xf>
    <xf numFmtId="0" fontId="35" fillId="0" borderId="22" xfId="0" applyFont="1" applyBorder="1" applyAlignment="1">
      <alignment horizontal="center" vertical="center" shrinkToFit="1"/>
    </xf>
    <xf numFmtId="0" fontId="35" fillId="0" borderId="18" xfId="0" applyFont="1" applyBorder="1" applyAlignment="1">
      <alignment horizontal="center" vertical="center" shrinkToFit="1"/>
    </xf>
    <xf numFmtId="0" fontId="35" fillId="0" borderId="19" xfId="0" applyFont="1" applyBorder="1" applyAlignment="1">
      <alignment horizontal="center" vertical="center" shrinkToFit="1"/>
    </xf>
    <xf numFmtId="166" fontId="37" fillId="4" borderId="0" xfId="0" applyNumberFormat="1" applyFont="1" applyFill="1" applyAlignment="1">
      <alignment horizontal="center" vertical="center"/>
    </xf>
    <xf numFmtId="0" fontId="37" fillId="2" borderId="0" xfId="0" applyFont="1" applyFill="1" applyAlignment="1">
      <alignment horizontal="left" vertical="center"/>
    </xf>
    <xf numFmtId="0" fontId="30" fillId="9" borderId="7" xfId="0" applyFont="1" applyFill="1" applyBorder="1" applyAlignment="1">
      <alignment horizontal="left" vertical="center" wrapText="1"/>
    </xf>
    <xf numFmtId="0" fontId="16" fillId="3" borderId="7" xfId="0" applyFont="1" applyFill="1" applyBorder="1" applyAlignment="1" applyProtection="1">
      <alignment horizontal="left" vertical="top" wrapText="1" shrinkToFit="1"/>
      <protection locked="0"/>
    </xf>
    <xf numFmtId="0" fontId="16" fillId="3" borderId="7" xfId="0" applyFont="1" applyFill="1" applyBorder="1" applyAlignment="1" applyProtection="1">
      <alignment horizontal="left" vertical="top" shrinkToFit="1"/>
      <protection locked="0"/>
    </xf>
    <xf numFmtId="0" fontId="20" fillId="8" borderId="45" xfId="0" applyFont="1" applyFill="1" applyBorder="1" applyAlignment="1">
      <alignment horizontal="center" vertical="center" wrapText="1"/>
    </xf>
    <xf numFmtId="0" fontId="20" fillId="8" borderId="27" xfId="0" applyFont="1" applyFill="1" applyBorder="1" applyAlignment="1">
      <alignment horizontal="center" vertical="center" wrapText="1"/>
    </xf>
    <xf numFmtId="0" fontId="20" fillId="8" borderId="28" xfId="0" applyFont="1" applyFill="1" applyBorder="1" applyAlignment="1">
      <alignment horizontal="center" vertical="center" wrapText="1"/>
    </xf>
    <xf numFmtId="0" fontId="21" fillId="8" borderId="28" xfId="0" applyFont="1" applyFill="1" applyBorder="1" applyAlignment="1">
      <alignment horizontal="center" vertical="center" wrapText="1"/>
    </xf>
    <xf numFmtId="0" fontId="21" fillId="8" borderId="29" xfId="0" applyFont="1" applyFill="1" applyBorder="1" applyAlignment="1">
      <alignment horizontal="center" vertical="center" wrapText="1"/>
    </xf>
    <xf numFmtId="0" fontId="30" fillId="8" borderId="8" xfId="0" applyFont="1" applyFill="1" applyBorder="1" applyAlignment="1">
      <alignment horizontal="center" vertical="center" textRotation="90"/>
    </xf>
    <xf numFmtId="0" fontId="30" fillId="8" borderId="6" xfId="0" applyFont="1" applyFill="1" applyBorder="1" applyAlignment="1">
      <alignment horizontal="center" vertical="center" textRotation="90"/>
    </xf>
    <xf numFmtId="0" fontId="20" fillId="8" borderId="11" xfId="0" applyFont="1" applyFill="1" applyBorder="1" applyAlignment="1">
      <alignment horizontal="center" vertical="center" wrapText="1"/>
    </xf>
    <xf numFmtId="0" fontId="20" fillId="8" borderId="12" xfId="0" applyFont="1" applyFill="1" applyBorder="1" applyAlignment="1">
      <alignment horizontal="center" vertical="center" wrapText="1"/>
    </xf>
    <xf numFmtId="0" fontId="20" fillId="8" borderId="44" xfId="0" applyFont="1" applyFill="1" applyBorder="1" applyAlignment="1">
      <alignment horizontal="center" vertical="center" wrapText="1"/>
    </xf>
  </cellXfs>
  <cellStyles count="4">
    <cellStyle name="Euro" xfId="1" xr:uid="{00000000-0005-0000-0000-000000000000}"/>
    <cellStyle name="Milliers" xfId="3" builtinId="3"/>
    <cellStyle name="Normal" xfId="0" builtinId="0"/>
    <cellStyle name="Normal 2" xfId="2" xr:uid="{00000000-0005-0000-0000-000003000000}"/>
  </cellStyles>
  <dxfs count="40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263F6A"/>
      <rgbColor rgb="00C3C8C8"/>
      <rgbColor rgb="000065BD"/>
      <rgbColor rgb="00EC7A08"/>
      <rgbColor rgb="00FFFFFF"/>
      <rgbColor rgb="00FFFFFF"/>
      <rgbColor rgb="00FFFFFF"/>
      <rgbColor rgb="00FFFFE6"/>
      <rgbColor rgb="00F0AB00"/>
      <rgbColor rgb="003DB7E4"/>
      <rgbColor rgb="008996A0"/>
      <rgbColor rgb="00D52B1E"/>
      <rgbColor rgb="00522398"/>
      <rgbColor rgb="00FFFFFF"/>
      <rgbColor rgb="00FFFFFF"/>
      <rgbColor rgb="00FFFF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FF"/>
      <color rgb="FFFFFFCC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35</xdr:row>
          <xdr:rowOff>0</xdr:rowOff>
        </xdr:from>
        <xdr:to>
          <xdr:col>24</xdr:col>
          <xdr:colOff>144780</xdr:colOff>
          <xdr:row>37</xdr:row>
          <xdr:rowOff>99060</xdr:rowOff>
        </xdr:to>
        <xdr:sp macro="" textlink="">
          <xdr:nvSpPr>
            <xdr:cNvPr id="6264" name="Group Box 120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000-00007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Zone de groupe 120</a:t>
              </a:r>
            </a:p>
          </xdr:txBody>
        </xdr:sp>
        <xdr:clientData/>
      </xdr:twoCellAnchor>
    </mc:Choice>
    <mc:Fallback/>
  </mc:AlternateContent>
  <xdr:oneCellAnchor>
    <xdr:from>
      <xdr:col>31</xdr:col>
      <xdr:colOff>46244</xdr:colOff>
      <xdr:row>38</xdr:row>
      <xdr:rowOff>25390</xdr:rowOff>
    </xdr:from>
    <xdr:ext cx="1832874" cy="490327"/>
    <xdr:sp macro="[0]!ImprimPDF" textlink="">
      <xdr:nvSpPr>
        <xdr:cNvPr id="8" name="Bouton_LanceMacr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5855502" y="6221601"/>
          <a:ext cx="1832874" cy="490327"/>
        </a:xfrm>
        <a:prstGeom prst="rect">
          <a:avLst/>
        </a:prstGeom>
        <a:solidFill>
          <a:schemeClr val="accent2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fr-FR" sz="9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Cliquer ICI pour créer</a:t>
          </a:r>
          <a:r>
            <a:rPr lang="fr-FR" sz="9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 PDF </a:t>
          </a:r>
        </a:p>
        <a:p>
          <a:pPr algn="ctr"/>
          <a:r>
            <a:rPr lang="fr-FR" sz="9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afin de pouvoir </a:t>
          </a:r>
        </a:p>
        <a:p>
          <a:pPr algn="ctr"/>
          <a:r>
            <a:rPr lang="fr-FR" sz="9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signer numériquement</a:t>
          </a:r>
          <a:endParaRPr lang="fr-FR" sz="9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30</xdr:row>
          <xdr:rowOff>0</xdr:rowOff>
        </xdr:from>
        <xdr:to>
          <xdr:col>24</xdr:col>
          <xdr:colOff>144780</xdr:colOff>
          <xdr:row>32</xdr:row>
          <xdr:rowOff>45720</xdr:rowOff>
        </xdr:to>
        <xdr:sp macro="" textlink="">
          <xdr:nvSpPr>
            <xdr:cNvPr id="6273" name="Group Box 129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000-00008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Zone de groupe 120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35657</xdr:colOff>
      <xdr:row>0</xdr:row>
      <xdr:rowOff>66216</xdr:rowOff>
    </xdr:from>
    <xdr:to>
      <xdr:col>6</xdr:col>
      <xdr:colOff>138654</xdr:colOff>
      <xdr:row>0</xdr:row>
      <xdr:rowOff>426216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5657" y="66216"/>
          <a:ext cx="1198117" cy="360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37</xdr:row>
          <xdr:rowOff>0</xdr:rowOff>
        </xdr:from>
        <xdr:to>
          <xdr:col>24</xdr:col>
          <xdr:colOff>144780</xdr:colOff>
          <xdr:row>39</xdr:row>
          <xdr:rowOff>45720</xdr:rowOff>
        </xdr:to>
        <xdr:sp macro="" textlink="">
          <xdr:nvSpPr>
            <xdr:cNvPr id="7169" name="Group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Zone de groupe 120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28</xdr:row>
          <xdr:rowOff>0</xdr:rowOff>
        </xdr:from>
        <xdr:to>
          <xdr:col>24</xdr:col>
          <xdr:colOff>144780</xdr:colOff>
          <xdr:row>29</xdr:row>
          <xdr:rowOff>152400</xdr:rowOff>
        </xdr:to>
        <xdr:sp macro="" textlink="">
          <xdr:nvSpPr>
            <xdr:cNvPr id="7170" name="Group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Zone de groupe 120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35655</xdr:colOff>
      <xdr:row>0</xdr:row>
      <xdr:rowOff>66214</xdr:rowOff>
    </xdr:from>
    <xdr:to>
      <xdr:col>6</xdr:col>
      <xdr:colOff>138652</xdr:colOff>
      <xdr:row>0</xdr:row>
      <xdr:rowOff>426214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5655" y="66214"/>
          <a:ext cx="1198117" cy="3600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BN47"/>
  <sheetViews>
    <sheetView showGridLines="0" showRowColHeaders="0" tabSelected="1" zoomScale="144" zoomScaleNormal="144" zoomScaleSheetLayoutView="157" workbookViewId="0">
      <selection activeCell="N12" sqref="N12:O12"/>
    </sheetView>
  </sheetViews>
  <sheetFormatPr baseColWidth="10" defaultColWidth="2.88671875" defaultRowHeight="12" customHeight="1" x14ac:dyDescent="0.25"/>
  <cols>
    <col min="1" max="1" width="2.109375" style="1" customWidth="1"/>
    <col min="2" max="4" width="2.88671875" style="1" customWidth="1"/>
    <col min="5" max="5" width="3" style="2" customWidth="1"/>
    <col min="6" max="9" width="2.88671875" style="2" customWidth="1"/>
    <col min="10" max="36" width="2.88671875" style="1" customWidth="1"/>
    <col min="37" max="46" width="2.88671875" style="4" customWidth="1"/>
    <col min="47" max="47" width="9.88671875" style="4" bestFit="1" customWidth="1"/>
    <col min="48" max="16384" width="2.88671875" style="4"/>
  </cols>
  <sheetData>
    <row r="1" spans="1:66" ht="39.75" customHeight="1" x14ac:dyDescent="0.25">
      <c r="A1" s="193" t="s">
        <v>51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  <c r="AJ1" s="193"/>
      <c r="AK1" s="193"/>
      <c r="AL1" s="193"/>
      <c r="AM1" s="193"/>
      <c r="AN1" s="193"/>
      <c r="AO1" s="193"/>
      <c r="AP1" s="193"/>
      <c r="AQ1" s="193"/>
      <c r="AR1" s="193"/>
      <c r="AS1" s="193"/>
      <c r="AT1" s="193"/>
    </row>
    <row r="2" spans="1:66" ht="9.9" customHeight="1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</row>
    <row r="3" spans="1:66" ht="24.9" customHeight="1" x14ac:dyDescent="0.25">
      <c r="A3" s="6" t="s">
        <v>29</v>
      </c>
      <c r="B3" s="6"/>
      <c r="C3" s="6"/>
      <c r="D3" s="6"/>
      <c r="E3" s="6"/>
      <c r="F3" s="6"/>
      <c r="G3" s="6"/>
      <c r="H3" s="197">
        <v>46048</v>
      </c>
      <c r="I3" s="197"/>
      <c r="J3" s="197"/>
      <c r="K3" s="197"/>
      <c r="L3" s="197"/>
      <c r="M3" s="197"/>
      <c r="N3" s="197"/>
      <c r="O3" s="197"/>
      <c r="P3" s="197"/>
      <c r="Q3" s="197"/>
      <c r="R3" s="197"/>
      <c r="S3" s="197"/>
      <c r="T3" s="197"/>
      <c r="U3" s="197"/>
      <c r="V3" s="196" t="s">
        <v>30</v>
      </c>
      <c r="W3" s="196"/>
      <c r="X3" s="6"/>
      <c r="Y3" s="198">
        <f>+IF(Date_Deb&lt;&gt;"",Date_Deb+6,"")</f>
        <v>46054</v>
      </c>
      <c r="Z3" s="198"/>
      <c r="AA3" s="198"/>
      <c r="AB3" s="198"/>
      <c r="AC3" s="198"/>
      <c r="AD3" s="198"/>
      <c r="AE3" s="198"/>
      <c r="AF3" s="198"/>
      <c r="AG3" s="198"/>
      <c r="AH3" s="198"/>
      <c r="AI3" s="198"/>
      <c r="AJ3" s="198"/>
      <c r="AK3" s="198"/>
      <c r="AL3" s="198"/>
      <c r="AN3" s="202" t="s">
        <v>31</v>
      </c>
      <c r="AO3" s="202"/>
      <c r="AP3" s="202"/>
      <c r="AQ3" s="202"/>
      <c r="AR3" s="202"/>
      <c r="AS3" s="203">
        <f>IF(H3&lt;&gt;"",WEEKNUM(H3,21),"")</f>
        <v>5</v>
      </c>
      <c r="AT3" s="203"/>
    </row>
    <row r="4" spans="1:66" ht="24.9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4"/>
      <c r="X4" s="6"/>
      <c r="Y4" s="4"/>
      <c r="Z4" s="6"/>
      <c r="AA4" s="6"/>
      <c r="AB4" s="6"/>
      <c r="AC4" s="6"/>
      <c r="AD4" s="6"/>
      <c r="AE4" s="6"/>
      <c r="AF4" s="6"/>
      <c r="AG4" s="6"/>
      <c r="AH4" s="6"/>
      <c r="AI4" s="4"/>
      <c r="AJ4" s="4"/>
    </row>
    <row r="5" spans="1:66" ht="12.75" customHeight="1" x14ac:dyDescent="0.25">
      <c r="A5" s="272" t="s">
        <v>54</v>
      </c>
      <c r="B5" s="275" t="s">
        <v>93</v>
      </c>
      <c r="C5" s="293" t="s">
        <v>53</v>
      </c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294"/>
      <c r="S5" s="294"/>
      <c r="T5" s="294"/>
      <c r="U5" s="295"/>
      <c r="W5" s="232" t="s">
        <v>41</v>
      </c>
      <c r="X5" s="233"/>
      <c r="Y5" s="233"/>
      <c r="Z5" s="233"/>
      <c r="AA5" s="233"/>
      <c r="AB5" s="233"/>
      <c r="AC5" s="233"/>
      <c r="AD5" s="233"/>
      <c r="AE5" s="233"/>
      <c r="AF5" s="233"/>
      <c r="AG5" s="233"/>
      <c r="AH5" s="233"/>
      <c r="AI5" s="233"/>
      <c r="AJ5" s="234"/>
      <c r="AK5" s="1"/>
      <c r="AL5" s="102" t="str">
        <f>CONCATENATE("Synthèse PAYE ",AN3&amp;" ",NumSemaine)</f>
        <v>Synthèse PAYE Semaine : 5</v>
      </c>
      <c r="AM5" s="102"/>
      <c r="AN5" s="102"/>
      <c r="AO5" s="102"/>
      <c r="AP5" s="102"/>
      <c r="AQ5" s="102"/>
      <c r="AR5" s="102"/>
      <c r="AS5" s="102"/>
      <c r="AT5" s="102"/>
    </row>
    <row r="6" spans="1:66" s="5" customFormat="1" ht="24.9" customHeight="1" thickBot="1" x14ac:dyDescent="0.3">
      <c r="A6" s="273"/>
      <c r="B6" s="276"/>
      <c r="C6" s="217" t="s">
        <v>52</v>
      </c>
      <c r="D6" s="218"/>
      <c r="E6" s="219"/>
      <c r="F6" s="220" t="s">
        <v>87</v>
      </c>
      <c r="G6" s="221"/>
      <c r="H6" s="200" t="s">
        <v>0</v>
      </c>
      <c r="I6" s="201"/>
      <c r="J6" s="201" t="s">
        <v>1</v>
      </c>
      <c r="K6" s="201"/>
      <c r="L6" s="200" t="s">
        <v>2</v>
      </c>
      <c r="M6" s="201"/>
      <c r="N6" s="201" t="s">
        <v>3</v>
      </c>
      <c r="O6" s="201"/>
      <c r="P6" s="243" t="s">
        <v>82</v>
      </c>
      <c r="Q6" s="244"/>
      <c r="R6" s="227" t="s">
        <v>57</v>
      </c>
      <c r="S6" s="227"/>
      <c r="T6" s="227" t="s">
        <v>58</v>
      </c>
      <c r="U6" s="228"/>
      <c r="W6" s="235"/>
      <c r="X6" s="236"/>
      <c r="Y6" s="236"/>
      <c r="Z6" s="236"/>
      <c r="AA6" s="236"/>
      <c r="AB6" s="236"/>
      <c r="AC6" s="236"/>
      <c r="AD6" s="236"/>
      <c r="AE6" s="236"/>
      <c r="AF6" s="236"/>
      <c r="AG6" s="236"/>
      <c r="AH6" s="236"/>
      <c r="AI6" s="236"/>
      <c r="AJ6" s="237"/>
      <c r="AL6" s="206" t="s">
        <v>98</v>
      </c>
      <c r="AM6" s="132"/>
      <c r="AN6" s="132"/>
      <c r="AO6" s="132"/>
      <c r="AP6" s="132"/>
      <c r="AQ6" s="132"/>
      <c r="AR6" s="132"/>
      <c r="AS6" s="296" t="s">
        <v>59</v>
      </c>
      <c r="AT6" s="297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</row>
    <row r="7" spans="1:66" ht="11.1" customHeight="1" thickBot="1" x14ac:dyDescent="0.3">
      <c r="A7" s="273"/>
      <c r="B7" s="276"/>
      <c r="C7" s="46" t="s">
        <v>4</v>
      </c>
      <c r="D7" s="38"/>
      <c r="E7" s="39"/>
      <c r="F7" s="222"/>
      <c r="G7" s="223"/>
      <c r="H7" s="184">
        <v>0.3611111111111111</v>
      </c>
      <c r="I7" s="185"/>
      <c r="J7" s="180">
        <v>0.5</v>
      </c>
      <c r="K7" s="181"/>
      <c r="L7" s="184">
        <v>0.54166666666666663</v>
      </c>
      <c r="M7" s="185"/>
      <c r="N7" s="180">
        <v>0.70486111111111116</v>
      </c>
      <c r="O7" s="181"/>
      <c r="P7" s="169">
        <f>+IF(OR(AND(H7&lt;&gt;"",J7&lt;&gt;""),AND(L7&lt;&gt;"",N7&lt;&gt;"")),((J7-H7)+(N7-L7))*24,0)</f>
        <v>7.2500000000000018</v>
      </c>
      <c r="Q7" s="170"/>
      <c r="R7" s="194">
        <f>+IF(OR(F7=Datas!$B$12,P7=0),0,IF(AND(H7&lt;Datas!$B$20,H7&lt;&gt;""),(MIN('FT-TIS'!J7,Datas!$B$20)-'FT-TIS'!H7)*24,0)+IF(AND(N7&gt;Datas!$B$21,N7&lt;&gt;""),(N7-MAX('FT-TIS'!L7,Datas!$B$21))*24,0))</f>
        <v>0</v>
      </c>
      <c r="S7" s="195"/>
      <c r="T7" s="194">
        <f>IF(F7=Datas!$B$12,'FT-TIS'!P7,0)</f>
        <v>0</v>
      </c>
      <c r="U7" s="199"/>
      <c r="W7" s="229" t="s">
        <v>138</v>
      </c>
      <c r="X7" s="230"/>
      <c r="Y7" s="230"/>
      <c r="Z7" s="230"/>
      <c r="AA7" s="230"/>
      <c r="AB7" s="230"/>
      <c r="AC7" s="230"/>
      <c r="AD7" s="230"/>
      <c r="AE7" s="230"/>
      <c r="AF7" s="230"/>
      <c r="AG7" s="230"/>
      <c r="AH7" s="230"/>
      <c r="AI7" s="230"/>
      <c r="AJ7" s="231"/>
      <c r="AK7" s="1"/>
      <c r="AL7" s="207" t="s">
        <v>99</v>
      </c>
      <c r="AM7" s="208"/>
      <c r="AN7" s="208"/>
      <c r="AO7" s="208"/>
      <c r="AP7" s="208"/>
      <c r="AQ7" s="208"/>
      <c r="AR7" s="208"/>
      <c r="AS7" s="204">
        <f>+AS8+AS11+AS14+AS16</f>
        <v>0</v>
      </c>
      <c r="AT7" s="205"/>
      <c r="AU7" s="96"/>
    </row>
    <row r="8" spans="1:66" ht="11.1" customHeight="1" x14ac:dyDescent="0.25">
      <c r="A8" s="273"/>
      <c r="B8" s="276"/>
      <c r="C8" s="47" t="s">
        <v>5</v>
      </c>
      <c r="D8" s="40"/>
      <c r="E8" s="41"/>
      <c r="F8" s="224"/>
      <c r="G8" s="225"/>
      <c r="H8" s="119">
        <v>0.34375</v>
      </c>
      <c r="I8" s="120"/>
      <c r="J8" s="121">
        <v>0.5</v>
      </c>
      <c r="K8" s="122"/>
      <c r="L8" s="119">
        <v>0.54166666666666663</v>
      </c>
      <c r="M8" s="120"/>
      <c r="N8" s="121">
        <v>0.6875</v>
      </c>
      <c r="O8" s="122"/>
      <c r="P8" s="161">
        <f>+IF(OR(AND(H8&lt;&gt;"",J8&lt;&gt;""),AND(L8&lt;&gt;"",N8&lt;&gt;"")),((J8-H8)+(N8-L8))*24,0)</f>
        <v>7.2500000000000009</v>
      </c>
      <c r="Q8" s="162"/>
      <c r="R8" s="156">
        <f>+IF(OR(F8=Datas!$B$12,P8=0),0,IF(AND(H8&lt;Datas!$B$20,H8&lt;&gt;""),(MIN('FT-TIS'!J8,Datas!$B$20)-'FT-TIS'!H8)*24,0)+IF(AND(N8&gt;Datas!$B$21,N8&lt;&gt;""),(N8-MAX('FT-TIS'!L8,Datas!$B$21))*24,0))</f>
        <v>0</v>
      </c>
      <c r="S8" s="160"/>
      <c r="T8" s="156">
        <f>IF(F8=Datas!$B$12,'FT-TIS'!P8,0)</f>
        <v>0</v>
      </c>
      <c r="U8" s="157"/>
      <c r="W8" s="214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6"/>
      <c r="AK8" s="1"/>
      <c r="AL8" s="140" t="s">
        <v>111</v>
      </c>
      <c r="AM8" s="141"/>
      <c r="AN8" s="141"/>
      <c r="AO8" s="141"/>
      <c r="AP8" s="141"/>
      <c r="AQ8" s="141"/>
      <c r="AR8" s="141"/>
      <c r="AS8" s="148">
        <f>+AS9+AS10</f>
        <v>0</v>
      </c>
      <c r="AT8" s="149"/>
      <c r="AU8" s="96"/>
    </row>
    <row r="9" spans="1:66" ht="11.1" customHeight="1" x14ac:dyDescent="0.25">
      <c r="A9" s="273"/>
      <c r="B9" s="276"/>
      <c r="C9" s="47" t="s">
        <v>6</v>
      </c>
      <c r="D9" s="40"/>
      <c r="E9" s="41"/>
      <c r="F9" s="224"/>
      <c r="G9" s="225"/>
      <c r="H9" s="119">
        <v>0.34375</v>
      </c>
      <c r="I9" s="120"/>
      <c r="J9" s="121">
        <v>0.5</v>
      </c>
      <c r="K9" s="122"/>
      <c r="L9" s="119">
        <v>0.54166666666666663</v>
      </c>
      <c r="M9" s="120"/>
      <c r="N9" s="121">
        <v>0.6875</v>
      </c>
      <c r="O9" s="122"/>
      <c r="P9" s="161">
        <f>+IF(OR(AND(H9&lt;&gt;"",J9&lt;&gt;""),AND(L9&lt;&gt;"",N9&lt;&gt;"")),((J9-H9)+(N9-L9))*24,0)</f>
        <v>7.2500000000000009</v>
      </c>
      <c r="Q9" s="162"/>
      <c r="R9" s="156">
        <f>+IF(OR(F9=Datas!$B$12,P9=0),0,IF(AND(H9&lt;Datas!$B$20,H9&lt;&gt;""),(MIN('FT-TIS'!J9,Datas!$B$20)-'FT-TIS'!H9)*24,0)+IF(AND(N9&gt;Datas!$B$21,N9&lt;&gt;""),(N9-MAX('FT-TIS'!L9,Datas!$B$21))*24,0))</f>
        <v>0</v>
      </c>
      <c r="S9" s="160"/>
      <c r="T9" s="156">
        <f>IF(F9=Datas!$B$12,'FT-TIS'!P9,0)</f>
        <v>0</v>
      </c>
      <c r="U9" s="157"/>
      <c r="W9" s="214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6"/>
      <c r="AK9" s="1"/>
      <c r="AL9" s="142" t="s">
        <v>69</v>
      </c>
      <c r="AM9" s="143"/>
      <c r="AN9" s="143"/>
      <c r="AO9" s="143"/>
      <c r="AP9" s="143"/>
      <c r="AQ9" s="143"/>
      <c r="AR9" s="143"/>
      <c r="AS9" s="153">
        <f>MIN(MAX(0,($P$14-$R$14-$T$14)+$P$28-Datas!$G$4),$P$28)</f>
        <v>0</v>
      </c>
      <c r="AT9" s="154"/>
    </row>
    <row r="10" spans="1:66" ht="11.1" customHeight="1" thickBot="1" x14ac:dyDescent="0.3">
      <c r="A10" s="273"/>
      <c r="B10" s="276"/>
      <c r="C10" s="47" t="s">
        <v>7</v>
      </c>
      <c r="D10" s="40"/>
      <c r="E10" s="41"/>
      <c r="F10" s="224"/>
      <c r="G10" s="225"/>
      <c r="H10" s="119">
        <v>0.34375</v>
      </c>
      <c r="I10" s="120"/>
      <c r="J10" s="121">
        <v>0.5</v>
      </c>
      <c r="K10" s="122"/>
      <c r="L10" s="119">
        <v>0.54166666666666663</v>
      </c>
      <c r="M10" s="120"/>
      <c r="N10" s="121">
        <v>0.6958333333333333</v>
      </c>
      <c r="O10" s="122"/>
      <c r="P10" s="161">
        <f>+IF(OR(AND(H10&lt;&gt;"",J10&lt;&gt;""),AND(L10&lt;&gt;"",N10&lt;&gt;"")),((J10-H10)+(N10-L10))*24,0)</f>
        <v>7.45</v>
      </c>
      <c r="Q10" s="162"/>
      <c r="R10" s="156">
        <f>+IF(OR(F10=Datas!$B$12,P10=0),0,IF(AND(H10&lt;Datas!$B$20,H10&lt;&gt;""),(MIN('FT-TIS'!J10,Datas!$B$20)-'FT-TIS'!H10)*24,0)+IF(AND(N10&gt;Datas!$B$21,N10&lt;&gt;""),(N10-MAX('FT-TIS'!L10,Datas!$B$21))*24,0))</f>
        <v>0</v>
      </c>
      <c r="S10" s="160"/>
      <c r="T10" s="156">
        <f>IF(F10=Datas!$B$12,'FT-TIS'!P10,0)</f>
        <v>0</v>
      </c>
      <c r="U10" s="157"/>
      <c r="W10" s="214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6"/>
      <c r="AK10" s="1"/>
      <c r="AL10" s="144" t="s">
        <v>68</v>
      </c>
      <c r="AM10" s="145"/>
      <c r="AN10" s="145"/>
      <c r="AO10" s="145"/>
      <c r="AP10" s="145"/>
      <c r="AQ10" s="145"/>
      <c r="AR10" s="145"/>
      <c r="AS10" s="146">
        <f>IF(Datas!$G$3&lt;&gt;Datas!$D$2,MIN(MAX(0,($P$14-$R$14-$T$14)-Datas!$G$4),MAX(0,Datas!$C$2-Datas!$G$4)),0)</f>
        <v>0</v>
      </c>
      <c r="AT10" s="147"/>
      <c r="AU10" s="79"/>
    </row>
    <row r="11" spans="1:66" ht="11.1" customHeight="1" x14ac:dyDescent="0.25">
      <c r="A11" s="273"/>
      <c r="B11" s="276"/>
      <c r="C11" s="47" t="s">
        <v>8</v>
      </c>
      <c r="D11" s="40"/>
      <c r="E11" s="41"/>
      <c r="F11" s="224"/>
      <c r="G11" s="225"/>
      <c r="H11" s="119">
        <v>0.34375</v>
      </c>
      <c r="I11" s="120"/>
      <c r="J11" s="121">
        <v>0.5</v>
      </c>
      <c r="K11" s="122"/>
      <c r="L11" s="119">
        <v>0.54166666666666663</v>
      </c>
      <c r="M11" s="120"/>
      <c r="N11" s="121">
        <v>0.58333333333333337</v>
      </c>
      <c r="O11" s="122"/>
      <c r="P11" s="161">
        <f>+IF(OR(AND(H11&lt;&gt;"",J11&lt;&gt;""),AND(L11&lt;&gt;"",N11&lt;&gt;"")),((J11-H11)+(N11-L11))*24,0)</f>
        <v>4.7500000000000018</v>
      </c>
      <c r="Q11" s="162"/>
      <c r="R11" s="156">
        <f>+IF(OR(F11=Datas!$B$12,P11=0),0,IF(AND(H11&lt;Datas!$B$20,H11&lt;&gt;""),(MIN('FT-TIS'!J11,Datas!$B$20)-'FT-TIS'!H11)*24,0)+IF(AND(N11&gt;Datas!$B$21,N11&lt;&gt;""),(N11-MAX('FT-TIS'!L11,Datas!$B$21))*24,0))</f>
        <v>0</v>
      </c>
      <c r="S11" s="160"/>
      <c r="T11" s="156">
        <f>IF(F11=Datas!$B$12,'FT-TIS'!P11,0)</f>
        <v>0</v>
      </c>
      <c r="U11" s="157"/>
      <c r="W11" s="214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6"/>
      <c r="AK11" s="1"/>
      <c r="AL11" s="140" t="s">
        <v>112</v>
      </c>
      <c r="AM11" s="141"/>
      <c r="AN11" s="141"/>
      <c r="AO11" s="141"/>
      <c r="AP11" s="141"/>
      <c r="AQ11" s="141"/>
      <c r="AR11" s="141"/>
      <c r="AS11" s="148">
        <f>+AS12+AS13</f>
        <v>0</v>
      </c>
      <c r="AT11" s="149"/>
    </row>
    <row r="12" spans="1:66" ht="11.1" customHeight="1" x14ac:dyDescent="0.25">
      <c r="A12" s="273"/>
      <c r="B12" s="276"/>
      <c r="C12" s="47" t="s">
        <v>9</v>
      </c>
      <c r="D12" s="40"/>
      <c r="E12" s="41"/>
      <c r="F12" s="224"/>
      <c r="G12" s="226"/>
      <c r="H12" s="119"/>
      <c r="I12" s="120"/>
      <c r="J12" s="121"/>
      <c r="K12" s="122"/>
      <c r="L12" s="119"/>
      <c r="M12" s="120"/>
      <c r="N12" s="121"/>
      <c r="O12" s="122"/>
      <c r="P12" s="161">
        <f t="shared" ref="P12:P13" si="0">+IF(OR(AND(H12&lt;&gt;"",J12&lt;&gt;""),AND(L12&lt;&gt;"",N12&lt;&gt;"")),((J12-H12)+(N12-L12))*24,0)</f>
        <v>0</v>
      </c>
      <c r="Q12" s="162"/>
      <c r="R12" s="156">
        <f>+IF(OR(F12=Datas!$B$12,P12=0),0,IF(AND(H12&lt;Datas!$B$20,H12&lt;&gt;""),(MIN('FT-TIS'!J12,Datas!$B$20)-'FT-TIS'!H12)*24,0)+IF(AND(N12&gt;Datas!$B$21,N12&lt;&gt;""),(N12-MAX('FT-TIS'!L12,Datas!$B$21))*24,0))</f>
        <v>0</v>
      </c>
      <c r="S12" s="160"/>
      <c r="T12" s="156">
        <f>IF(F12=Datas!$B$12,'FT-TIS'!P12,0)</f>
        <v>0</v>
      </c>
      <c r="U12" s="157"/>
      <c r="W12" s="214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6"/>
      <c r="AK12" s="1"/>
      <c r="AL12" s="142" t="s">
        <v>80</v>
      </c>
      <c r="AM12" s="143"/>
      <c r="AN12" s="143"/>
      <c r="AO12" s="143"/>
      <c r="AP12" s="143"/>
      <c r="AQ12" s="143"/>
      <c r="AR12" s="143"/>
      <c r="AS12" s="153">
        <f>+R14</f>
        <v>0</v>
      </c>
      <c r="AT12" s="154"/>
    </row>
    <row r="13" spans="1:66" ht="11.1" customHeight="1" thickBot="1" x14ac:dyDescent="0.3">
      <c r="A13" s="273"/>
      <c r="B13" s="276"/>
      <c r="C13" s="48" t="s">
        <v>10</v>
      </c>
      <c r="D13" s="42"/>
      <c r="E13" s="43"/>
      <c r="F13" s="281"/>
      <c r="G13" s="282"/>
      <c r="H13" s="123"/>
      <c r="I13" s="124"/>
      <c r="J13" s="125"/>
      <c r="K13" s="126"/>
      <c r="L13" s="123"/>
      <c r="M13" s="124"/>
      <c r="N13" s="125"/>
      <c r="O13" s="126"/>
      <c r="P13" s="163">
        <f t="shared" si="0"/>
        <v>0</v>
      </c>
      <c r="Q13" s="164"/>
      <c r="R13" s="158">
        <f>+IF(OR(F13=Datas!$B$12,P13=0),0,IF(AND(H13&lt;Datas!$B$20,H13&lt;&gt;""),(MIN('FT-TIS'!J13,Datas!$B$20)-'FT-TIS'!H13)*24,0)+IF(AND(N13&gt;Datas!$B$21,N13&lt;&gt;""),(N13-MAX('FT-TIS'!L13,Datas!$B$21))*24,0))</f>
        <v>0</v>
      </c>
      <c r="S13" s="165"/>
      <c r="T13" s="158">
        <f>IF(F13=Datas!$B$12,'FT-TIS'!P13,0)</f>
        <v>0</v>
      </c>
      <c r="U13" s="159"/>
      <c r="W13" s="211"/>
      <c r="X13" s="212"/>
      <c r="Y13" s="212"/>
      <c r="Z13" s="212"/>
      <c r="AA13" s="212"/>
      <c r="AB13" s="212"/>
      <c r="AC13" s="212"/>
      <c r="AD13" s="212"/>
      <c r="AE13" s="212"/>
      <c r="AF13" s="212"/>
      <c r="AG13" s="212"/>
      <c r="AH13" s="212"/>
      <c r="AI13" s="212"/>
      <c r="AJ13" s="213"/>
      <c r="AK13" s="1"/>
      <c r="AL13" s="144" t="s">
        <v>110</v>
      </c>
      <c r="AM13" s="145"/>
      <c r="AN13" s="145"/>
      <c r="AO13" s="145"/>
      <c r="AP13" s="145"/>
      <c r="AQ13" s="145"/>
      <c r="AR13" s="145"/>
      <c r="AS13" s="146">
        <f>+MIN(MAX(0,(($P$14-$R$14-$T$14))-Datas!$C$2),Datas!$E$8)</f>
        <v>0</v>
      </c>
      <c r="AT13" s="147"/>
    </row>
    <row r="14" spans="1:66" ht="11.1" customHeight="1" x14ac:dyDescent="0.25">
      <c r="A14" s="274"/>
      <c r="B14" s="276"/>
      <c r="C14" s="49" t="s">
        <v>11</v>
      </c>
      <c r="D14" s="44"/>
      <c r="E14" s="45"/>
      <c r="F14" s="283"/>
      <c r="G14" s="284"/>
      <c r="H14" s="284"/>
      <c r="I14" s="284"/>
      <c r="J14" s="284"/>
      <c r="K14" s="284"/>
      <c r="L14" s="284"/>
      <c r="M14" s="284"/>
      <c r="N14" s="284"/>
      <c r="O14" s="285"/>
      <c r="P14" s="166">
        <f>SUM(P7:Q13)</f>
        <v>33.950000000000003</v>
      </c>
      <c r="Q14" s="167"/>
      <c r="R14" s="171">
        <f t="shared" ref="R14" si="1">SUM(R7:S13)</f>
        <v>0</v>
      </c>
      <c r="S14" s="171"/>
      <c r="T14" s="171">
        <f t="shared" ref="T14" si="2">SUM(T7:U13)</f>
        <v>0</v>
      </c>
      <c r="U14" s="113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52"/>
      <c r="AL14" s="140" t="s">
        <v>113</v>
      </c>
      <c r="AM14" s="141"/>
      <c r="AN14" s="141"/>
      <c r="AO14" s="141"/>
      <c r="AP14" s="141"/>
      <c r="AQ14" s="141"/>
      <c r="AR14" s="141"/>
      <c r="AS14" s="148">
        <f>+AS15</f>
        <v>0</v>
      </c>
      <c r="AT14" s="149"/>
    </row>
    <row r="15" spans="1:66" ht="11.1" customHeight="1" thickBot="1" x14ac:dyDescent="0.3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4"/>
      <c r="X15" s="6"/>
      <c r="Y15" s="4"/>
      <c r="Z15" s="6"/>
      <c r="AA15" s="6"/>
      <c r="AB15" s="6"/>
      <c r="AC15" s="6"/>
      <c r="AD15" s="6"/>
      <c r="AE15" s="6"/>
      <c r="AF15" s="6"/>
      <c r="AG15" s="6"/>
      <c r="AH15" s="6"/>
      <c r="AI15" s="4"/>
      <c r="AJ15" s="4"/>
      <c r="AL15" s="144" t="s">
        <v>96</v>
      </c>
      <c r="AM15" s="145"/>
      <c r="AN15" s="145"/>
      <c r="AO15" s="145"/>
      <c r="AP15" s="145"/>
      <c r="AQ15" s="145"/>
      <c r="AR15" s="145"/>
      <c r="AS15" s="146">
        <f>MAX(($P$14-$R$14-$T$14)-Datas!$C$2-$AS$13,0)</f>
        <v>0</v>
      </c>
      <c r="AT15" s="147"/>
    </row>
    <row r="16" spans="1:66" ht="11.1" customHeight="1" x14ac:dyDescent="0.25">
      <c r="A16" s="4"/>
      <c r="B16" s="4"/>
      <c r="C16" s="8" t="str">
        <f>CONCATENATE("L'horaire de travail journalier est de "&amp;Datas!B2&amp;" heures ("&amp;Datas!B3&amp;"h"&amp;Datas!B4&amp;"min) soit "&amp;Datas!C2&amp;" heures par semaine de 5 jours.")</f>
        <v>L'horaire de travail journalier est de 7,4 heures (7h24min) soit 37 heures par semaine de 5 jours.</v>
      </c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3"/>
      <c r="AF16" s="3"/>
      <c r="AI16" s="4"/>
      <c r="AJ16" s="4"/>
      <c r="AL16" s="140" t="s">
        <v>114</v>
      </c>
      <c r="AM16" s="141"/>
      <c r="AN16" s="141"/>
      <c r="AO16" s="141"/>
      <c r="AP16" s="141"/>
      <c r="AQ16" s="141"/>
      <c r="AR16" s="141"/>
      <c r="AS16" s="151">
        <f>+AS17</f>
        <v>0</v>
      </c>
      <c r="AT16" s="152"/>
    </row>
    <row r="17" spans="1:46" ht="11.1" customHeight="1" thickBot="1" x14ac:dyDescent="0.3">
      <c r="A17" s="4"/>
      <c r="B17" s="4"/>
      <c r="C17" s="8" t="str">
        <f>CONCATENATE("Les heures de nuit sont celles effectuées entre ",Datas!$B$21*24," heures et ",Datas!$B$20*24, " heures.")</f>
        <v>Les heures de nuit sont celles effectuées entre 21 heures et 6 heures.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80"/>
      <c r="R17" s="80"/>
      <c r="S17" s="80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3"/>
      <c r="AF17" s="3"/>
      <c r="AI17" s="4"/>
      <c r="AJ17" s="4"/>
      <c r="AL17" s="144" t="s">
        <v>95</v>
      </c>
      <c r="AM17" s="145"/>
      <c r="AN17" s="145"/>
      <c r="AO17" s="145"/>
      <c r="AP17" s="145"/>
      <c r="AQ17" s="145"/>
      <c r="AR17" s="145"/>
      <c r="AS17" s="146">
        <f>SUMIFS(P7:P11,F7:F11,Datas!$B$12)</f>
        <v>0</v>
      </c>
      <c r="AT17" s="147"/>
    </row>
    <row r="18" spans="1:46" ht="11.1" customHeight="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4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6"/>
      <c r="AI18" s="4"/>
      <c r="AJ18" s="4"/>
    </row>
    <row r="19" spans="1:46" ht="11.1" customHeight="1" x14ac:dyDescent="0.25">
      <c r="A19" s="277" t="s">
        <v>55</v>
      </c>
      <c r="B19" s="275" t="s">
        <v>61</v>
      </c>
      <c r="C19" s="186" t="s">
        <v>56</v>
      </c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8" t="s">
        <v>91</v>
      </c>
      <c r="S19" s="189"/>
      <c r="T19" s="189"/>
      <c r="U19" s="190"/>
      <c r="W19" s="172" t="s">
        <v>41</v>
      </c>
      <c r="X19" s="173"/>
      <c r="Y19" s="173"/>
      <c r="Z19" s="173"/>
      <c r="AA19" s="173"/>
      <c r="AB19" s="173"/>
      <c r="AC19" s="173"/>
      <c r="AD19" s="173"/>
      <c r="AE19" s="173"/>
      <c r="AF19" s="173"/>
      <c r="AG19" s="173"/>
      <c r="AH19" s="173"/>
      <c r="AI19" s="173"/>
      <c r="AJ19" s="174"/>
      <c r="AL19" s="150" t="str">
        <f>IF(AND(Astreinte_Nb_UBA=0,Astreinte_Nb_HresInterv=0),"","Astreinte : Cf. Feuille ""Astreinte""")</f>
        <v/>
      </c>
      <c r="AM19" s="150"/>
      <c r="AN19" s="150"/>
      <c r="AO19" s="150"/>
      <c r="AP19" s="150"/>
      <c r="AQ19" s="150"/>
      <c r="AR19" s="150"/>
      <c r="AS19" s="150"/>
      <c r="AT19" s="150"/>
    </row>
    <row r="20" spans="1:46" s="5" customFormat="1" ht="25.2" customHeight="1" x14ac:dyDescent="0.25">
      <c r="A20" s="278"/>
      <c r="B20" s="275"/>
      <c r="C20" s="178" t="s">
        <v>52</v>
      </c>
      <c r="D20" s="179"/>
      <c r="E20" s="280"/>
      <c r="F20" s="178" t="s">
        <v>18</v>
      </c>
      <c r="G20" s="179"/>
      <c r="H20" s="178" t="s">
        <v>0</v>
      </c>
      <c r="I20" s="179"/>
      <c r="J20" s="178" t="s">
        <v>1</v>
      </c>
      <c r="K20" s="179"/>
      <c r="L20" s="178" t="s">
        <v>2</v>
      </c>
      <c r="M20" s="179"/>
      <c r="N20" s="178" t="s">
        <v>3</v>
      </c>
      <c r="O20" s="179"/>
      <c r="P20" s="182" t="s">
        <v>92</v>
      </c>
      <c r="Q20" s="183"/>
      <c r="R20" s="250" t="s">
        <v>82</v>
      </c>
      <c r="S20" s="227"/>
      <c r="T20" s="248" t="s">
        <v>83</v>
      </c>
      <c r="U20" s="249"/>
      <c r="W20" s="175"/>
      <c r="X20" s="176"/>
      <c r="Y20" s="176"/>
      <c r="Z20" s="176"/>
      <c r="AA20" s="176"/>
      <c r="AB20" s="176"/>
      <c r="AC20" s="176"/>
      <c r="AD20" s="176"/>
      <c r="AE20" s="176"/>
      <c r="AF20" s="176"/>
      <c r="AG20" s="176"/>
      <c r="AH20" s="176"/>
      <c r="AI20" s="176"/>
      <c r="AJ20" s="177"/>
      <c r="AK20" s="4"/>
    </row>
    <row r="21" spans="1:46" ht="11.1" customHeight="1" x14ac:dyDescent="0.25">
      <c r="A21" s="278"/>
      <c r="B21" s="275"/>
      <c r="C21" s="46" t="s">
        <v>4</v>
      </c>
      <c r="D21" s="54"/>
      <c r="E21" s="55"/>
      <c r="F21" s="209">
        <f>+F7</f>
        <v>0</v>
      </c>
      <c r="G21" s="210"/>
      <c r="H21" s="184">
        <v>0.33333333333333331</v>
      </c>
      <c r="I21" s="185"/>
      <c r="J21" s="180">
        <v>0.3611111111111111</v>
      </c>
      <c r="K21" s="181"/>
      <c r="L21" s="184"/>
      <c r="M21" s="185"/>
      <c r="N21" s="180"/>
      <c r="O21" s="181"/>
      <c r="P21" s="169">
        <f>+IF(OR(AND(H21&lt;&gt;"",J21&lt;&gt;""),AND(L21&lt;&gt;"",N21&lt;&gt;"")),((J21-H21)+(N21-L21))*24,0)</f>
        <v>0.66666666666666696</v>
      </c>
      <c r="Q21" s="170"/>
      <c r="R21" s="245">
        <f>+P7</f>
        <v>7.2500000000000018</v>
      </c>
      <c r="S21" s="251"/>
      <c r="T21" s="245">
        <f>+P21+R21</f>
        <v>7.9166666666666687</v>
      </c>
      <c r="U21" s="246"/>
      <c r="W21" s="214" t="s">
        <v>137</v>
      </c>
      <c r="X21" s="215"/>
      <c r="Y21" s="215"/>
      <c r="Z21" s="215"/>
      <c r="AA21" s="215"/>
      <c r="AB21" s="215"/>
      <c r="AC21" s="215"/>
      <c r="AD21" s="215"/>
      <c r="AE21" s="215"/>
      <c r="AF21" s="215"/>
      <c r="AG21" s="215"/>
      <c r="AH21" s="215"/>
      <c r="AI21" s="215"/>
      <c r="AJ21" s="216"/>
    </row>
    <row r="22" spans="1:46" ht="11.1" customHeight="1" x14ac:dyDescent="0.25">
      <c r="A22" s="278"/>
      <c r="B22" s="275"/>
      <c r="C22" s="47" t="s">
        <v>5</v>
      </c>
      <c r="D22" s="56"/>
      <c r="E22" s="57"/>
      <c r="F22" s="191">
        <f t="shared" ref="F22:F27" si="3">+F8</f>
        <v>0</v>
      </c>
      <c r="G22" s="192"/>
      <c r="H22" s="119"/>
      <c r="I22" s="120"/>
      <c r="J22" s="121"/>
      <c r="K22" s="122"/>
      <c r="L22" s="119"/>
      <c r="M22" s="120"/>
      <c r="N22" s="121"/>
      <c r="O22" s="122"/>
      <c r="P22" s="161">
        <f t="shared" ref="P22:P23" si="4">+IF(OR(AND(H22&lt;&gt;"",J22&lt;&gt;""),AND(L22&lt;&gt;"",N22&lt;&gt;"")),((J22-H22)+(N22-L22))*24,0)</f>
        <v>0</v>
      </c>
      <c r="Q22" s="162"/>
      <c r="R22" s="129">
        <f t="shared" ref="R22:R27" si="5">+P8</f>
        <v>7.2500000000000009</v>
      </c>
      <c r="S22" s="130"/>
      <c r="T22" s="129">
        <f t="shared" ref="T22:T27" si="6">+P22+R22</f>
        <v>7.2500000000000009</v>
      </c>
      <c r="U22" s="247"/>
      <c r="W22" s="214"/>
      <c r="X22" s="215"/>
      <c r="Y22" s="215"/>
      <c r="Z22" s="215"/>
      <c r="AA22" s="215"/>
      <c r="AB22" s="215"/>
      <c r="AC22" s="215"/>
      <c r="AD22" s="215"/>
      <c r="AE22" s="215"/>
      <c r="AF22" s="215"/>
      <c r="AG22" s="215"/>
      <c r="AH22" s="215"/>
      <c r="AI22" s="215"/>
      <c r="AJ22" s="216"/>
      <c r="AL22" s="102" t="str">
        <f>CONCATENATE("Compteur Hres ",AN3&amp;" ",NumSemaine)</f>
        <v>Compteur Hres Semaine : 5</v>
      </c>
      <c r="AM22" s="102"/>
      <c r="AN22" s="102"/>
      <c r="AO22" s="102"/>
      <c r="AP22" s="102"/>
      <c r="AQ22" s="102"/>
      <c r="AR22" s="102"/>
      <c r="AS22" s="102"/>
      <c r="AT22" s="102"/>
    </row>
    <row r="23" spans="1:46" ht="11.1" customHeight="1" x14ac:dyDescent="0.25">
      <c r="A23" s="278"/>
      <c r="B23" s="275"/>
      <c r="C23" s="47" t="s">
        <v>6</v>
      </c>
      <c r="D23" s="56"/>
      <c r="E23" s="57"/>
      <c r="F23" s="191">
        <f t="shared" si="3"/>
        <v>0</v>
      </c>
      <c r="G23" s="192"/>
      <c r="H23" s="119"/>
      <c r="I23" s="120"/>
      <c r="J23" s="121"/>
      <c r="K23" s="122"/>
      <c r="L23" s="119"/>
      <c r="M23" s="120"/>
      <c r="N23" s="121"/>
      <c r="O23" s="122"/>
      <c r="P23" s="161">
        <f t="shared" si="4"/>
        <v>0</v>
      </c>
      <c r="Q23" s="162"/>
      <c r="R23" s="129">
        <f t="shared" si="5"/>
        <v>7.2500000000000009</v>
      </c>
      <c r="S23" s="130"/>
      <c r="T23" s="129">
        <f t="shared" si="6"/>
        <v>7.2500000000000009</v>
      </c>
      <c r="U23" s="247"/>
      <c r="W23" s="214"/>
      <c r="X23" s="215"/>
      <c r="Y23" s="215"/>
      <c r="Z23" s="215"/>
      <c r="AA23" s="215"/>
      <c r="AB23" s="215"/>
      <c r="AC23" s="215"/>
      <c r="AD23" s="215"/>
      <c r="AE23" s="215"/>
      <c r="AF23" s="215"/>
      <c r="AG23" s="215"/>
      <c r="AH23" s="215"/>
      <c r="AI23" s="215"/>
      <c r="AJ23" s="216"/>
      <c r="AL23" s="132" t="s">
        <v>60</v>
      </c>
      <c r="AM23" s="132"/>
      <c r="AN23" s="132"/>
      <c r="AO23" s="132"/>
      <c r="AP23" s="132"/>
      <c r="AQ23" s="132"/>
      <c r="AR23" s="132"/>
      <c r="AS23" s="132" t="s">
        <v>59</v>
      </c>
      <c r="AT23" s="132"/>
    </row>
    <row r="24" spans="1:46" ht="11.1" customHeight="1" x14ac:dyDescent="0.25">
      <c r="A24" s="278"/>
      <c r="B24" s="275"/>
      <c r="C24" s="47" t="s">
        <v>7</v>
      </c>
      <c r="D24" s="56"/>
      <c r="E24" s="57"/>
      <c r="F24" s="191">
        <f t="shared" si="3"/>
        <v>0</v>
      </c>
      <c r="G24" s="192"/>
      <c r="H24" s="119"/>
      <c r="I24" s="120"/>
      <c r="J24" s="121"/>
      <c r="K24" s="122"/>
      <c r="L24" s="119"/>
      <c r="M24" s="120"/>
      <c r="N24" s="121"/>
      <c r="O24" s="122"/>
      <c r="P24" s="161">
        <f>+IF(OR(AND(H24&lt;&gt;"",J24&lt;&gt;""),AND(L24&lt;&gt;"",N24&lt;&gt;"")),((J24-H24)+(N24-L24))*24,0)</f>
        <v>0</v>
      </c>
      <c r="Q24" s="162"/>
      <c r="R24" s="129">
        <f t="shared" si="5"/>
        <v>7.45</v>
      </c>
      <c r="S24" s="130"/>
      <c r="T24" s="129">
        <f t="shared" si="6"/>
        <v>7.45</v>
      </c>
      <c r="U24" s="247"/>
      <c r="W24" s="214"/>
      <c r="X24" s="215"/>
      <c r="Y24" s="215"/>
      <c r="Z24" s="215"/>
      <c r="AA24" s="215"/>
      <c r="AB24" s="215"/>
      <c r="AC24" s="215"/>
      <c r="AD24" s="215"/>
      <c r="AE24" s="215"/>
      <c r="AF24" s="215"/>
      <c r="AG24" s="215"/>
      <c r="AH24" s="215"/>
      <c r="AI24" s="215"/>
      <c r="AJ24" s="216"/>
      <c r="AL24" s="133"/>
      <c r="AM24" s="133"/>
      <c r="AN24" s="133"/>
      <c r="AO24" s="133"/>
      <c r="AP24" s="133"/>
      <c r="AQ24" s="133"/>
      <c r="AR24" s="133"/>
      <c r="AS24" s="133"/>
      <c r="AT24" s="133"/>
    </row>
    <row r="25" spans="1:46" ht="11.1" customHeight="1" x14ac:dyDescent="0.25">
      <c r="A25" s="278"/>
      <c r="B25" s="275"/>
      <c r="C25" s="47" t="s">
        <v>8</v>
      </c>
      <c r="D25" s="56"/>
      <c r="E25" s="57"/>
      <c r="F25" s="191">
        <f t="shared" si="3"/>
        <v>0</v>
      </c>
      <c r="G25" s="192"/>
      <c r="H25" s="119"/>
      <c r="I25" s="120"/>
      <c r="J25" s="121"/>
      <c r="K25" s="122"/>
      <c r="L25" s="119"/>
      <c r="M25" s="120"/>
      <c r="N25" s="121"/>
      <c r="O25" s="122"/>
      <c r="P25" s="161">
        <f>+IF(OR(AND(H25&lt;&gt;"",J25&lt;&gt;""),AND(L25&lt;&gt;"",N25&lt;&gt;"")),((J25-H25)+(N25-L25))*24,0)</f>
        <v>0</v>
      </c>
      <c r="Q25" s="162"/>
      <c r="R25" s="129">
        <f t="shared" si="5"/>
        <v>4.7500000000000018</v>
      </c>
      <c r="S25" s="130"/>
      <c r="T25" s="129">
        <f t="shared" si="6"/>
        <v>4.7500000000000018</v>
      </c>
      <c r="U25" s="247"/>
      <c r="W25" s="214"/>
      <c r="X25" s="215"/>
      <c r="Y25" s="215"/>
      <c r="Z25" s="215"/>
      <c r="AA25" s="215"/>
      <c r="AB25" s="215"/>
      <c r="AC25" s="215"/>
      <c r="AD25" s="215"/>
      <c r="AE25" s="215"/>
      <c r="AF25" s="215"/>
      <c r="AG25" s="215"/>
      <c r="AH25" s="215"/>
      <c r="AI25" s="215"/>
      <c r="AJ25" s="216"/>
      <c r="AL25" s="137" t="s">
        <v>94</v>
      </c>
      <c r="AM25" s="138"/>
      <c r="AN25" s="138"/>
      <c r="AO25" s="138"/>
      <c r="AP25" s="138"/>
      <c r="AQ25" s="138"/>
      <c r="AR25" s="139"/>
      <c r="AS25" s="114">
        <f>+AS26+AS28+AS29</f>
        <v>34.616666666666667</v>
      </c>
      <c r="AT25" s="115"/>
    </row>
    <row r="26" spans="1:46" ht="11.1" customHeight="1" x14ac:dyDescent="0.25">
      <c r="A26" s="278"/>
      <c r="B26" s="275"/>
      <c r="C26" s="47" t="s">
        <v>9</v>
      </c>
      <c r="D26" s="56"/>
      <c r="E26" s="57"/>
      <c r="F26" s="191">
        <f t="shared" si="3"/>
        <v>0</v>
      </c>
      <c r="G26" s="192"/>
      <c r="H26" s="119"/>
      <c r="I26" s="120"/>
      <c r="J26" s="121"/>
      <c r="K26" s="122"/>
      <c r="L26" s="119"/>
      <c r="M26" s="120"/>
      <c r="N26" s="121"/>
      <c r="O26" s="122"/>
      <c r="P26" s="161">
        <f>+IF(OR(AND(H26&lt;&gt;"",J26&lt;&gt;""),AND(L26&lt;&gt;"",N26&lt;&gt;"")),((J26-H26)+(N26-L26))*24,0)</f>
        <v>0</v>
      </c>
      <c r="Q26" s="162"/>
      <c r="R26" s="129">
        <f t="shared" si="5"/>
        <v>0</v>
      </c>
      <c r="S26" s="130"/>
      <c r="T26" s="129">
        <f t="shared" si="6"/>
        <v>0</v>
      </c>
      <c r="U26" s="247"/>
      <c r="W26" s="214"/>
      <c r="X26" s="215"/>
      <c r="Y26" s="215"/>
      <c r="Z26" s="215"/>
      <c r="AA26" s="215"/>
      <c r="AB26" s="215"/>
      <c r="AC26" s="215"/>
      <c r="AD26" s="215"/>
      <c r="AE26" s="215"/>
      <c r="AF26" s="215"/>
      <c r="AG26" s="215"/>
      <c r="AH26" s="215"/>
      <c r="AI26" s="215"/>
      <c r="AJ26" s="216"/>
      <c r="AL26" s="134" t="s">
        <v>68</v>
      </c>
      <c r="AM26" s="135"/>
      <c r="AN26" s="135"/>
      <c r="AO26" s="135"/>
      <c r="AP26" s="135"/>
      <c r="AQ26" s="135"/>
      <c r="AR26" s="136"/>
      <c r="AS26" s="103">
        <f>+P14</f>
        <v>33.950000000000003</v>
      </c>
      <c r="AT26" s="104"/>
    </row>
    <row r="27" spans="1:46" ht="11.1" customHeight="1" x14ac:dyDescent="0.25">
      <c r="A27" s="278"/>
      <c r="B27" s="275"/>
      <c r="C27" s="48" t="s">
        <v>10</v>
      </c>
      <c r="D27" s="58"/>
      <c r="E27" s="59"/>
      <c r="F27" s="286">
        <f t="shared" si="3"/>
        <v>0</v>
      </c>
      <c r="G27" s="287"/>
      <c r="H27" s="123"/>
      <c r="I27" s="124"/>
      <c r="J27" s="125"/>
      <c r="K27" s="126"/>
      <c r="L27" s="123"/>
      <c r="M27" s="124"/>
      <c r="N27" s="125"/>
      <c r="O27" s="126"/>
      <c r="P27" s="163">
        <f t="shared" ref="P27" si="7">+IF(OR(AND(H27&lt;&gt;"",J27&lt;&gt;""),AND(L27&lt;&gt;"",N27&lt;&gt;"")),((J27-H27)+(N27-L27))*24,0)</f>
        <v>0</v>
      </c>
      <c r="Q27" s="164"/>
      <c r="R27" s="110">
        <f t="shared" si="5"/>
        <v>0</v>
      </c>
      <c r="S27" s="131"/>
      <c r="T27" s="110">
        <f t="shared" si="6"/>
        <v>0</v>
      </c>
      <c r="U27" s="111"/>
      <c r="W27" s="211"/>
      <c r="X27" s="212"/>
      <c r="Y27" s="212"/>
      <c r="Z27" s="212"/>
      <c r="AA27" s="212"/>
      <c r="AB27" s="212"/>
      <c r="AC27" s="212"/>
      <c r="AD27" s="212"/>
      <c r="AE27" s="212"/>
      <c r="AF27" s="212"/>
      <c r="AG27" s="212"/>
      <c r="AH27" s="212"/>
      <c r="AI27" s="212"/>
      <c r="AJ27" s="213"/>
      <c r="AL27" s="105" t="s">
        <v>97</v>
      </c>
      <c r="AM27" s="106"/>
      <c r="AN27" s="106"/>
      <c r="AO27" s="106"/>
      <c r="AP27" s="106"/>
      <c r="AQ27" s="106"/>
      <c r="AR27" s="107"/>
      <c r="AS27" s="108">
        <f>+R14</f>
        <v>0</v>
      </c>
      <c r="AT27" s="109"/>
    </row>
    <row r="28" spans="1:46" ht="11.1" customHeight="1" x14ac:dyDescent="0.25">
      <c r="A28" s="279"/>
      <c r="B28" s="275"/>
      <c r="C28" s="49" t="s">
        <v>11</v>
      </c>
      <c r="D28" s="60"/>
      <c r="E28" s="61"/>
      <c r="F28" s="51"/>
      <c r="G28" s="51"/>
      <c r="H28" s="50"/>
      <c r="I28" s="51"/>
      <c r="J28" s="50"/>
      <c r="K28" s="51"/>
      <c r="N28" s="9"/>
      <c r="O28" s="53"/>
      <c r="P28" s="168">
        <f>SUM(P21:Q27)</f>
        <v>0.66666666666666696</v>
      </c>
      <c r="Q28" s="168"/>
      <c r="R28" s="112">
        <f>SUM(R21:S27)</f>
        <v>33.950000000000003</v>
      </c>
      <c r="S28" s="171"/>
      <c r="T28" s="112">
        <f>SUM(T21:U27)</f>
        <v>34.616666666666674</v>
      </c>
      <c r="U28" s="113"/>
      <c r="V28" s="53"/>
      <c r="W28" s="9"/>
      <c r="X28" s="9"/>
      <c r="Y28" s="9"/>
      <c r="Z28" s="9"/>
      <c r="AA28" s="9"/>
      <c r="AB28" s="9"/>
      <c r="AC28" s="9"/>
      <c r="AD28" s="9"/>
      <c r="AE28" s="53"/>
      <c r="AF28" s="53"/>
      <c r="AG28" s="52"/>
      <c r="AH28" s="9"/>
      <c r="AI28" s="9"/>
      <c r="AJ28" s="9"/>
      <c r="AK28" s="9"/>
      <c r="AL28" s="134" t="s">
        <v>69</v>
      </c>
      <c r="AM28" s="135"/>
      <c r="AN28" s="135"/>
      <c r="AO28" s="135"/>
      <c r="AP28" s="135"/>
      <c r="AQ28" s="135"/>
      <c r="AR28" s="136"/>
      <c r="AS28" s="103">
        <f>+P28</f>
        <v>0.66666666666666696</v>
      </c>
      <c r="AT28" s="104"/>
    </row>
    <row r="29" spans="1:46" ht="11.1" customHeight="1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4"/>
      <c r="T29" s="4"/>
      <c r="U29" s="4"/>
      <c r="V29" s="4"/>
      <c r="W29" s="4"/>
      <c r="X29" s="4"/>
      <c r="AI29" s="4"/>
      <c r="AJ29" s="4"/>
      <c r="AL29" s="116" t="s">
        <v>70</v>
      </c>
      <c r="AM29" s="117"/>
      <c r="AN29" s="117"/>
      <c r="AO29" s="117"/>
      <c r="AP29" s="117"/>
      <c r="AQ29" s="117"/>
      <c r="AR29" s="118"/>
      <c r="AS29" s="127">
        <f>+Astreinte!AO39</f>
        <v>0</v>
      </c>
      <c r="AT29" s="128"/>
    </row>
    <row r="30" spans="1:46" ht="11.1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4"/>
      <c r="T30" s="4"/>
      <c r="U30" s="4"/>
      <c r="V30" s="4"/>
      <c r="W30" s="4"/>
      <c r="X30" s="4"/>
      <c r="AI30" s="4"/>
      <c r="AJ30" s="4"/>
      <c r="AL30" s="288" t="s">
        <v>81</v>
      </c>
      <c r="AM30" s="289"/>
      <c r="AN30" s="289"/>
      <c r="AO30" s="289"/>
      <c r="AP30" s="289"/>
      <c r="AQ30" s="289"/>
      <c r="AR30" s="290"/>
      <c r="AS30" s="291">
        <f>MAX(P14+Astreinte!AO39-Datas!$C$2,0)</f>
        <v>0</v>
      </c>
      <c r="AT30" s="292"/>
    </row>
    <row r="31" spans="1:46" s="5" customFormat="1" ht="11.1" customHeight="1" x14ac:dyDescent="0.25">
      <c r="A31" s="100" t="s">
        <v>33</v>
      </c>
      <c r="B31" s="74"/>
      <c r="D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AH31" s="74"/>
      <c r="AI31" s="74"/>
      <c r="AJ31" s="74"/>
      <c r="AK31" s="74"/>
    </row>
    <row r="32" spans="1:46" ht="11.1" customHeight="1" x14ac:dyDescent="0.25">
      <c r="A32" s="100"/>
      <c r="B32" s="74"/>
      <c r="C32" s="63" t="s">
        <v>78</v>
      </c>
      <c r="D32" s="74"/>
    </row>
    <row r="33" spans="1:46" ht="11.1" customHeight="1" x14ac:dyDescent="0.25">
      <c r="A33" s="100"/>
      <c r="B33" s="74"/>
      <c r="C33" s="101" t="str">
        <f>IF(AND(Astreinte_Nb_UBA=0,Astreinte_Nb_HresInterv=0),Datas!$B$37,Datas!$B$38)</f>
        <v>Pas d'information relative aux astreintes enregistrées dans la feuille "Astreinte"</v>
      </c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01"/>
      <c r="W33" s="101"/>
      <c r="X33" s="101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1"/>
      <c r="AL33" s="101"/>
      <c r="AM33" s="101"/>
      <c r="AN33" s="101"/>
      <c r="AO33" s="101"/>
      <c r="AP33" s="101"/>
      <c r="AQ33" s="101"/>
      <c r="AR33" s="101"/>
      <c r="AS33" s="101"/>
      <c r="AT33" s="101"/>
    </row>
    <row r="34" spans="1:46" ht="11.1" customHeight="1" x14ac:dyDescent="0.25">
      <c r="A34" s="100"/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</row>
    <row r="35" spans="1:46" ht="11.1" customHeight="1" x14ac:dyDescent="0.25">
      <c r="A35" s="100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</row>
    <row r="36" spans="1:46" ht="5.0999999999999996" customHeight="1" x14ac:dyDescent="0.25">
      <c r="A36" s="4"/>
      <c r="B36" s="4"/>
      <c r="C36" s="4"/>
      <c r="D36" s="4"/>
      <c r="E36" s="4"/>
    </row>
    <row r="37" spans="1:46" ht="12.75" customHeight="1" x14ac:dyDescent="0.15"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2"/>
      <c r="T37" s="62"/>
      <c r="X37" s="4"/>
      <c r="Y37" s="4"/>
      <c r="Z37" s="4"/>
      <c r="AA37" s="241" t="s">
        <v>25</v>
      </c>
      <c r="AB37" s="242"/>
      <c r="AC37" s="242"/>
      <c r="AD37" s="242"/>
      <c r="AE37" s="242"/>
      <c r="AF37" s="242"/>
      <c r="AG37" s="242"/>
      <c r="AH37" s="242"/>
      <c r="AI37" s="242"/>
      <c r="AJ37" s="242"/>
      <c r="AK37" s="241" t="s">
        <v>26</v>
      </c>
      <c r="AL37" s="242"/>
      <c r="AM37" s="242"/>
      <c r="AN37" s="242"/>
      <c r="AO37" s="242"/>
      <c r="AP37" s="242"/>
      <c r="AQ37" s="242"/>
      <c r="AR37" s="242"/>
      <c r="AS37" s="242"/>
      <c r="AT37" s="242"/>
    </row>
    <row r="38" spans="1:46" ht="15" customHeight="1" x14ac:dyDescent="0.15">
      <c r="A38" s="65"/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3"/>
      <c r="T38" s="64"/>
      <c r="U38" s="155" t="s">
        <v>32</v>
      </c>
      <c r="V38" s="155"/>
      <c r="W38" s="155"/>
      <c r="X38" s="155"/>
      <c r="Y38" s="155"/>
      <c r="Z38" s="155"/>
      <c r="AA38" s="238" t="s">
        <v>136</v>
      </c>
      <c r="AB38" s="239"/>
      <c r="AC38" s="239"/>
      <c r="AD38" s="239"/>
      <c r="AE38" s="239"/>
      <c r="AF38" s="239"/>
      <c r="AG38" s="239"/>
      <c r="AH38" s="239"/>
      <c r="AI38" s="239"/>
      <c r="AJ38" s="240"/>
      <c r="AK38" s="238" t="s">
        <v>135</v>
      </c>
      <c r="AL38" s="239"/>
      <c r="AM38" s="239"/>
      <c r="AN38" s="239"/>
      <c r="AO38" s="239"/>
      <c r="AP38" s="239"/>
      <c r="AQ38" s="239"/>
      <c r="AR38" s="239"/>
      <c r="AS38" s="239"/>
      <c r="AT38" s="240"/>
    </row>
    <row r="39" spans="1:46" ht="15" customHeight="1" x14ac:dyDescent="0.25">
      <c r="A39" s="270" t="s">
        <v>79</v>
      </c>
      <c r="B39" s="270"/>
      <c r="C39" s="270"/>
      <c r="D39" s="270"/>
      <c r="E39" s="270"/>
      <c r="F39" s="270"/>
      <c r="G39" s="270"/>
      <c r="H39" s="270"/>
      <c r="I39" s="270"/>
      <c r="J39" s="270"/>
      <c r="K39" s="270"/>
      <c r="L39" s="270"/>
      <c r="M39" s="270"/>
      <c r="N39" s="270"/>
      <c r="O39" s="270"/>
      <c r="P39" s="270"/>
      <c r="Q39" s="270"/>
      <c r="R39" s="270"/>
      <c r="S39" s="270"/>
      <c r="T39" s="271"/>
      <c r="U39" s="261" t="s">
        <v>27</v>
      </c>
      <c r="V39" s="262"/>
      <c r="W39" s="262"/>
      <c r="X39" s="262"/>
      <c r="Y39" s="262"/>
      <c r="Z39" s="263"/>
      <c r="AA39" s="252" t="s">
        <v>28</v>
      </c>
      <c r="AB39" s="253"/>
      <c r="AC39" s="253"/>
      <c r="AD39" s="253"/>
      <c r="AE39" s="253"/>
      <c r="AF39" s="253"/>
      <c r="AG39" s="253"/>
      <c r="AH39" s="253"/>
      <c r="AI39" s="253"/>
      <c r="AJ39" s="254"/>
      <c r="AK39" s="252" t="s">
        <v>28</v>
      </c>
      <c r="AL39" s="253"/>
      <c r="AM39" s="253"/>
      <c r="AN39" s="253"/>
      <c r="AO39" s="253"/>
      <c r="AP39" s="253"/>
      <c r="AQ39" s="253"/>
      <c r="AR39" s="253"/>
      <c r="AS39" s="253"/>
      <c r="AT39" s="254"/>
    </row>
    <row r="40" spans="1:46" ht="15" customHeight="1" x14ac:dyDescent="0.25">
      <c r="A40" s="270"/>
      <c r="B40" s="270"/>
      <c r="C40" s="270"/>
      <c r="D40" s="270"/>
      <c r="E40" s="270"/>
      <c r="F40" s="270"/>
      <c r="G40" s="270"/>
      <c r="H40" s="270"/>
      <c r="I40" s="270"/>
      <c r="J40" s="270"/>
      <c r="K40" s="270"/>
      <c r="L40" s="270"/>
      <c r="M40" s="270"/>
      <c r="N40" s="270"/>
      <c r="O40" s="270"/>
      <c r="P40" s="270"/>
      <c r="Q40" s="270"/>
      <c r="R40" s="270"/>
      <c r="S40" s="270"/>
      <c r="T40" s="271"/>
      <c r="U40" s="264"/>
      <c r="V40" s="265"/>
      <c r="W40" s="265"/>
      <c r="X40" s="265"/>
      <c r="Y40" s="265"/>
      <c r="Z40" s="266"/>
      <c r="AA40" s="255"/>
      <c r="AB40" s="256"/>
      <c r="AC40" s="256"/>
      <c r="AD40" s="256"/>
      <c r="AE40" s="256"/>
      <c r="AF40" s="256"/>
      <c r="AG40" s="256"/>
      <c r="AH40" s="256"/>
      <c r="AI40" s="256"/>
      <c r="AJ40" s="257"/>
      <c r="AK40" s="255"/>
      <c r="AL40" s="256"/>
      <c r="AM40" s="256"/>
      <c r="AN40" s="256"/>
      <c r="AO40" s="256"/>
      <c r="AP40" s="256"/>
      <c r="AQ40" s="256"/>
      <c r="AR40" s="256"/>
      <c r="AS40" s="256"/>
      <c r="AT40" s="257"/>
    </row>
    <row r="41" spans="1:46" ht="15" customHeight="1" x14ac:dyDescent="0.15">
      <c r="A41" s="7" t="s">
        <v>134</v>
      </c>
      <c r="B41" s="4"/>
      <c r="U41" s="267"/>
      <c r="V41" s="268"/>
      <c r="W41" s="268"/>
      <c r="X41" s="268"/>
      <c r="Y41" s="268"/>
      <c r="Z41" s="269"/>
      <c r="AA41" s="258"/>
      <c r="AB41" s="259"/>
      <c r="AC41" s="259"/>
      <c r="AD41" s="259"/>
      <c r="AE41" s="259"/>
      <c r="AF41" s="259"/>
      <c r="AG41" s="259"/>
      <c r="AH41" s="259"/>
      <c r="AI41" s="259"/>
      <c r="AJ41" s="260"/>
      <c r="AK41" s="258"/>
      <c r="AL41" s="259"/>
      <c r="AM41" s="259"/>
      <c r="AN41" s="259"/>
      <c r="AO41" s="259"/>
      <c r="AP41" s="259"/>
      <c r="AQ41" s="259"/>
      <c r="AR41" s="259"/>
      <c r="AS41" s="259"/>
      <c r="AT41" s="260"/>
    </row>
    <row r="42" spans="1:46" ht="15" customHeight="1" x14ac:dyDescent="0.25"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</row>
    <row r="43" spans="1:46" ht="15" customHeight="1" x14ac:dyDescent="0.25"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</row>
    <row r="44" spans="1:46" ht="15" customHeight="1" x14ac:dyDescent="0.25">
      <c r="H44" s="4"/>
      <c r="I44" s="4"/>
      <c r="J44" s="4"/>
      <c r="K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</row>
    <row r="45" spans="1:46" ht="12" customHeight="1" x14ac:dyDescent="0.25">
      <c r="H45" s="4"/>
      <c r="I45" s="4"/>
      <c r="J45" s="4"/>
      <c r="K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</row>
    <row r="46" spans="1:46" ht="12" customHeight="1" x14ac:dyDescent="0.25">
      <c r="H46" s="4"/>
      <c r="I46" s="4"/>
      <c r="J46" s="4"/>
      <c r="K46" s="4"/>
    </row>
    <row r="47" spans="1:46" ht="12" customHeight="1" x14ac:dyDescent="0.25">
      <c r="H47" s="4"/>
      <c r="I47" s="4"/>
      <c r="J47" s="4"/>
      <c r="K47" s="4"/>
    </row>
  </sheetData>
  <sheetProtection algorithmName="SHA-512" hashValue="vuhR+sTKaoukCu9JfUWNT4wX/497c08TX8sjg/TsQshic8U2IzY2RRCWdRRPfAP5js6XROjpAHVqY3wyDWSuyw==" saltValue="++9HXs0JxcjT3L+aWGAvNg==" spinCount="100000" sheet="1" selectLockedCells="1"/>
  <mergeCells count="218">
    <mergeCell ref="AA39:AJ41"/>
    <mergeCell ref="AK39:AT41"/>
    <mergeCell ref="U39:Z41"/>
    <mergeCell ref="A39:T40"/>
    <mergeCell ref="A5:A14"/>
    <mergeCell ref="B5:B14"/>
    <mergeCell ref="A19:A28"/>
    <mergeCell ref="B19:B28"/>
    <mergeCell ref="C20:E20"/>
    <mergeCell ref="F20:G20"/>
    <mergeCell ref="F13:G13"/>
    <mergeCell ref="F14:O14"/>
    <mergeCell ref="F27:G27"/>
    <mergeCell ref="F25:G25"/>
    <mergeCell ref="F26:G26"/>
    <mergeCell ref="AL30:AR30"/>
    <mergeCell ref="AS30:AT30"/>
    <mergeCell ref="C5:U5"/>
    <mergeCell ref="AL28:AR28"/>
    <mergeCell ref="AL5:AT5"/>
    <mergeCell ref="AS6:AT6"/>
    <mergeCell ref="W23:AJ23"/>
    <mergeCell ref="W24:AJ24"/>
    <mergeCell ref="W25:AJ25"/>
    <mergeCell ref="R6:S6"/>
    <mergeCell ref="T6:U6"/>
    <mergeCell ref="W7:AJ7"/>
    <mergeCell ref="W5:AJ6"/>
    <mergeCell ref="J6:K6"/>
    <mergeCell ref="N6:O6"/>
    <mergeCell ref="W8:AJ8"/>
    <mergeCell ref="AA38:AJ38"/>
    <mergeCell ref="AK37:AT37"/>
    <mergeCell ref="AK38:AT38"/>
    <mergeCell ref="W26:AJ26"/>
    <mergeCell ref="W27:AJ27"/>
    <mergeCell ref="P6:Q6"/>
    <mergeCell ref="AA37:AJ37"/>
    <mergeCell ref="R28:S28"/>
    <mergeCell ref="T21:U21"/>
    <mergeCell ref="T22:U22"/>
    <mergeCell ref="T23:U23"/>
    <mergeCell ref="T24:U24"/>
    <mergeCell ref="T25:U25"/>
    <mergeCell ref="T26:U26"/>
    <mergeCell ref="T20:U20"/>
    <mergeCell ref="R20:S20"/>
    <mergeCell ref="R21:S21"/>
    <mergeCell ref="C6:E6"/>
    <mergeCell ref="F6:G6"/>
    <mergeCell ref="F7:G7"/>
    <mergeCell ref="F8:G8"/>
    <mergeCell ref="F9:G9"/>
    <mergeCell ref="F10:G10"/>
    <mergeCell ref="F11:G11"/>
    <mergeCell ref="F12:G12"/>
    <mergeCell ref="L6:M6"/>
    <mergeCell ref="J9:K9"/>
    <mergeCell ref="L9:M9"/>
    <mergeCell ref="L11:M11"/>
    <mergeCell ref="L12:M12"/>
    <mergeCell ref="J8:K8"/>
    <mergeCell ref="H8:I8"/>
    <mergeCell ref="W9:AJ9"/>
    <mergeCell ref="W21:AJ21"/>
    <mergeCell ref="W22:AJ22"/>
    <mergeCell ref="N11:O11"/>
    <mergeCell ref="T11:U11"/>
    <mergeCell ref="H24:I24"/>
    <mergeCell ref="W12:AJ12"/>
    <mergeCell ref="L10:M10"/>
    <mergeCell ref="W10:AJ10"/>
    <mergeCell ref="W11:AJ11"/>
    <mergeCell ref="P11:Q11"/>
    <mergeCell ref="AN3:AR3"/>
    <mergeCell ref="AS3:AT3"/>
    <mergeCell ref="AS7:AT7"/>
    <mergeCell ref="AS9:AT9"/>
    <mergeCell ref="AL6:AR6"/>
    <mergeCell ref="AL7:AR7"/>
    <mergeCell ref="F21:G21"/>
    <mergeCell ref="F22:G22"/>
    <mergeCell ref="W13:AJ13"/>
    <mergeCell ref="N8:O8"/>
    <mergeCell ref="P7:Q7"/>
    <mergeCell ref="P8:Q8"/>
    <mergeCell ref="P9:Q9"/>
    <mergeCell ref="P10:Q10"/>
    <mergeCell ref="N10:O10"/>
    <mergeCell ref="R11:S11"/>
    <mergeCell ref="N9:O9"/>
    <mergeCell ref="N7:O7"/>
    <mergeCell ref="N12:O12"/>
    <mergeCell ref="H11:I11"/>
    <mergeCell ref="H9:I9"/>
    <mergeCell ref="H7:I7"/>
    <mergeCell ref="J7:K7"/>
    <mergeCell ref="L7:M7"/>
    <mergeCell ref="A1:AT1"/>
    <mergeCell ref="N13:O13"/>
    <mergeCell ref="H27:I27"/>
    <mergeCell ref="R7:S7"/>
    <mergeCell ref="R8:S8"/>
    <mergeCell ref="R9:S9"/>
    <mergeCell ref="R10:S10"/>
    <mergeCell ref="J11:K11"/>
    <mergeCell ref="V3:W3"/>
    <mergeCell ref="H3:U3"/>
    <mergeCell ref="Y3:AL3"/>
    <mergeCell ref="T7:U7"/>
    <mergeCell ref="T8:U8"/>
    <mergeCell ref="T9:U9"/>
    <mergeCell ref="T10:U10"/>
    <mergeCell ref="L8:M8"/>
    <mergeCell ref="H6:I6"/>
    <mergeCell ref="H20:I20"/>
    <mergeCell ref="H12:I12"/>
    <mergeCell ref="J12:K12"/>
    <mergeCell ref="H10:I10"/>
    <mergeCell ref="J10:K10"/>
    <mergeCell ref="H13:I13"/>
    <mergeCell ref="J13:K13"/>
    <mergeCell ref="H25:I25"/>
    <mergeCell ref="J26:K26"/>
    <mergeCell ref="H26:I26"/>
    <mergeCell ref="J20:K20"/>
    <mergeCell ref="J24:K24"/>
    <mergeCell ref="J21:K21"/>
    <mergeCell ref="R14:S14"/>
    <mergeCell ref="P20:Q20"/>
    <mergeCell ref="H22:I22"/>
    <mergeCell ref="H23:I23"/>
    <mergeCell ref="H21:I21"/>
    <mergeCell ref="J23:K23"/>
    <mergeCell ref="L20:M20"/>
    <mergeCell ref="L21:M21"/>
    <mergeCell ref="L22:M22"/>
    <mergeCell ref="L23:M23"/>
    <mergeCell ref="L24:M24"/>
    <mergeCell ref="N22:O22"/>
    <mergeCell ref="N23:O23"/>
    <mergeCell ref="N24:O24"/>
    <mergeCell ref="C19:Q19"/>
    <mergeCell ref="R19:U19"/>
    <mergeCell ref="F23:G23"/>
    <mergeCell ref="F24:G24"/>
    <mergeCell ref="U38:Z38"/>
    <mergeCell ref="T12:U12"/>
    <mergeCell ref="T13:U13"/>
    <mergeCell ref="R12:S12"/>
    <mergeCell ref="J27:K27"/>
    <mergeCell ref="L13:M13"/>
    <mergeCell ref="P12:Q12"/>
    <mergeCell ref="P13:Q13"/>
    <mergeCell ref="R13:S13"/>
    <mergeCell ref="J22:K22"/>
    <mergeCell ref="P27:Q27"/>
    <mergeCell ref="P14:Q14"/>
    <mergeCell ref="P28:Q28"/>
    <mergeCell ref="P22:Q22"/>
    <mergeCell ref="P23:Q23"/>
    <mergeCell ref="P24:Q24"/>
    <mergeCell ref="P25:Q25"/>
    <mergeCell ref="P26:Q26"/>
    <mergeCell ref="P21:Q21"/>
    <mergeCell ref="J25:K25"/>
    <mergeCell ref="T14:U14"/>
    <mergeCell ref="W19:AJ20"/>
    <mergeCell ref="N20:O20"/>
    <mergeCell ref="N21:O21"/>
    <mergeCell ref="AS23:AT24"/>
    <mergeCell ref="AL26:AR26"/>
    <mergeCell ref="AS26:AT26"/>
    <mergeCell ref="AL25:AR25"/>
    <mergeCell ref="AL8:AR8"/>
    <mergeCell ref="AL9:AR9"/>
    <mergeCell ref="AL17:AR17"/>
    <mergeCell ref="AL11:AR11"/>
    <mergeCell ref="AL12:AR12"/>
    <mergeCell ref="AL13:AR13"/>
    <mergeCell ref="AL14:AR14"/>
    <mergeCell ref="AL15:AR15"/>
    <mergeCell ref="AL16:AR16"/>
    <mergeCell ref="AS13:AT13"/>
    <mergeCell ref="AS14:AT14"/>
    <mergeCell ref="AS15:AT15"/>
    <mergeCell ref="AL19:AT19"/>
    <mergeCell ref="AS17:AT17"/>
    <mergeCell ref="AS16:AT16"/>
    <mergeCell ref="AS12:AT12"/>
    <mergeCell ref="AS8:AT8"/>
    <mergeCell ref="AL10:AR10"/>
    <mergeCell ref="AS10:AT10"/>
    <mergeCell ref="AS11:AT11"/>
    <mergeCell ref="A31:A35"/>
    <mergeCell ref="C33:AT33"/>
    <mergeCell ref="AL22:AT22"/>
    <mergeCell ref="AS28:AT28"/>
    <mergeCell ref="AL27:AR27"/>
    <mergeCell ref="AS27:AT27"/>
    <mergeCell ref="T27:U27"/>
    <mergeCell ref="T28:U28"/>
    <mergeCell ref="AS25:AT25"/>
    <mergeCell ref="AL29:AR29"/>
    <mergeCell ref="L25:M25"/>
    <mergeCell ref="N25:O25"/>
    <mergeCell ref="L26:M26"/>
    <mergeCell ref="N26:O26"/>
    <mergeCell ref="L27:M27"/>
    <mergeCell ref="N27:O27"/>
    <mergeCell ref="AS29:AT29"/>
    <mergeCell ref="R22:S22"/>
    <mergeCell ref="R23:S23"/>
    <mergeCell ref="R24:S24"/>
    <mergeCell ref="R25:S25"/>
    <mergeCell ref="R26:S26"/>
    <mergeCell ref="R27:S27"/>
    <mergeCell ref="AL23:AR24"/>
  </mergeCells>
  <phoneticPr fontId="3" type="noConversion"/>
  <conditionalFormatting sqref="N7 L7 L10:L13 N10:N13">
    <cfRule type="expression" dxfId="39" priority="14">
      <formula>IF(OR(AND($L7&lt;&gt;"",$N7=""),AND($L7="",$N7&lt;&gt;"")),TRUE,FALSE)</formula>
    </cfRule>
  </conditionalFormatting>
  <conditionalFormatting sqref="J7 H7 H10:H13 J10:J13">
    <cfRule type="expression" dxfId="38" priority="13">
      <formula>IF(OR(AND($H7&lt;&gt;"",$J7=""),AND($H7="",$J7&lt;&gt;"")),TRUE,FALSE)</formula>
    </cfRule>
  </conditionalFormatting>
  <conditionalFormatting sqref="L21:L27 N21:N27">
    <cfRule type="expression" dxfId="37" priority="10">
      <formula>IF(OR(AND($L21&lt;&gt;"",$N21=""),AND($L21="",$N21&lt;&gt;"")),TRUE,FALSE)</formula>
    </cfRule>
  </conditionalFormatting>
  <conditionalFormatting sqref="J26:J27 H26:H27 H21:H24 J21:J24">
    <cfRule type="expression" dxfId="36" priority="9">
      <formula>IF(OR(AND($H21&lt;&gt;"",$J21=""),AND($H21="",$J21&lt;&gt;"")),TRUE,FALSE)</formula>
    </cfRule>
  </conditionalFormatting>
  <conditionalFormatting sqref="H25 J25">
    <cfRule type="expression" dxfId="35" priority="6">
      <formula>IF(OR(AND($H25&lt;&gt;"",$J25=""),AND($H25="",$J25&lt;&gt;"")),TRUE,FALSE)</formula>
    </cfRule>
  </conditionalFormatting>
  <conditionalFormatting sqref="L9 N9">
    <cfRule type="expression" dxfId="34" priority="5">
      <formula>IF(OR(AND($L9&lt;&gt;"",$N9=""),AND($L9="",$N9&lt;&gt;"")),TRUE,FALSE)</formula>
    </cfRule>
  </conditionalFormatting>
  <conditionalFormatting sqref="H9 J9">
    <cfRule type="expression" dxfId="33" priority="4">
      <formula>IF(OR(AND($H9&lt;&gt;"",$J9=""),AND($H9="",$J9&lt;&gt;"")),TRUE,FALSE)</formula>
    </cfRule>
  </conditionalFormatting>
  <conditionalFormatting sqref="L8 N8">
    <cfRule type="expression" dxfId="32" priority="2">
      <formula>IF(OR(AND($L8&lt;&gt;"",$N8=""),AND($L8="",$N8&lt;&gt;"")),TRUE,FALSE)</formula>
    </cfRule>
  </conditionalFormatting>
  <conditionalFormatting sqref="H8 J8">
    <cfRule type="expression" dxfId="31" priority="1">
      <formula>IF(OR(AND($H8&lt;&gt;"",$J8=""),AND($H8="",$J8&lt;&gt;"")),TRUE,FALSE)</formula>
    </cfRule>
  </conditionalFormatting>
  <dataValidations count="3">
    <dataValidation type="custom" allowBlank="1" showInputMessage="1" showErrorMessage="1" errorTitle="Saisie des heures" error="Heure de Fin &lt; Heure de Début_x000a_Merci de corriger" sqref="J21:K27 N21:O27 J7:K13 N7:O13" xr:uid="{00000000-0002-0000-0000-000000000000}">
      <formula1>IF(J7&lt;H7,FALSE,TRUE)</formula1>
    </dataValidation>
    <dataValidation type="custom" allowBlank="1" showInputMessage="1" showErrorMessage="1" errorTitle="Validation des données" error="L'heure de début PM doit être supéreieure à 12:00" sqref="L21:M27 L7:M13" xr:uid="{00000000-0002-0000-0000-000001000000}">
      <formula1>IF(L7&lt;0.5,FALSE,TRUE)</formula1>
    </dataValidation>
    <dataValidation type="custom" allowBlank="1" showInputMessage="1" showErrorMessage="1" error="Le premier jour de la semaine doit être un lundi, ce qui n'est pas le cas dans ce que vous avez saisi" sqref="H3:U3" xr:uid="{DFAABCCE-0205-43E9-A2DA-FC379E4ED6B2}">
      <formula1>IF(WEEKDAY(Date_Deb,2)=1,TRUE,FALSE)</formula1>
    </dataValidation>
  </dataValidations>
  <printOptions horizontalCentered="1"/>
  <pageMargins left="0.19685039370078741" right="0.19685039370078741" top="0.39370078740157483" bottom="0.19685039370078741" header="0.19685039370078741" footer="0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64" r:id="rId4" name="Group Box 120">
              <controlPr defaultSize="0" autoFill="0" autoPict="0">
                <anchor moveWithCells="1">
                  <from>
                    <xdr:col>1</xdr:col>
                    <xdr:colOff>7620</xdr:colOff>
                    <xdr:row>35</xdr:row>
                    <xdr:rowOff>0</xdr:rowOff>
                  </from>
                  <to>
                    <xdr:col>24</xdr:col>
                    <xdr:colOff>144780</xdr:colOff>
                    <xdr:row>37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5" name="Group Box 129">
              <controlPr defaultSize="0" autoFill="0" autoPict="0">
                <anchor moveWithCells="1">
                  <from>
                    <xdr:col>1</xdr:col>
                    <xdr:colOff>7620</xdr:colOff>
                    <xdr:row>30</xdr:row>
                    <xdr:rowOff>0</xdr:rowOff>
                  </from>
                  <to>
                    <xdr:col>24</xdr:col>
                    <xdr:colOff>144780</xdr:colOff>
                    <xdr:row>32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5" id="{283E6728-606F-4E9A-ADAB-C3FA4EF7EBC1}">
            <xm:f>IF($F7=Datas!$B$12,TRUE,FALSE)</xm:f>
            <x14:dxf>
              <fill>
                <patternFill>
                  <bgColor rgb="FFFFC000"/>
                </patternFill>
              </fill>
            </x14:dxf>
          </x14:cfRule>
          <xm:sqref>F21:F27 F7 F9:F13</xm:sqref>
        </x14:conditionalFormatting>
        <x14:conditionalFormatting xmlns:xm="http://schemas.microsoft.com/office/excel/2006/main">
          <x14:cfRule type="expression" priority="21" id="{FAFD5A04-DCB2-439D-A506-F2A906F33E11}">
            <xm:f>IF($P$14&gt;Datas!$C$9,TRUE,FALSE)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P14 R14 T14</xm:sqref>
        </x14:conditionalFormatting>
        <x14:conditionalFormatting xmlns:xm="http://schemas.microsoft.com/office/excel/2006/main">
          <x14:cfRule type="expression" priority="15" id="{178A611C-D60A-4336-B2BD-2A0CE77A9387}">
            <xm:f>IF($C$33=Datas!$B$38,TRUE,FALSE)</xm:f>
            <x14:dxf>
              <font>
                <color theme="0"/>
              </font>
              <fill>
                <patternFill>
                  <bgColor theme="8" tint="-0.24994659260841701"/>
                </patternFill>
              </fill>
            </x14:dxf>
          </x14:cfRule>
          <xm:sqref>C33</xm:sqref>
        </x14:conditionalFormatting>
        <x14:conditionalFormatting xmlns:xm="http://schemas.microsoft.com/office/excel/2006/main">
          <x14:cfRule type="expression" priority="12" id="{C0891406-34A1-4F44-8580-ADCD0DA530E2}">
            <xm:f>IF($AS$25&gt;Datas!$C$9,TRUE,FALSE)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AS25:AT25</xm:sqref>
        </x14:conditionalFormatting>
        <x14:conditionalFormatting xmlns:xm="http://schemas.microsoft.com/office/excel/2006/main">
          <x14:cfRule type="expression" priority="11" id="{FBB04290-7FD9-4188-BE9A-C364D7930F92}">
            <xm:f>IF($AS$25&gt;Datas!$C$9,TRUE,FALSE)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AS30:AT30</xm:sqref>
        </x14:conditionalFormatting>
        <x14:conditionalFormatting xmlns:xm="http://schemas.microsoft.com/office/excel/2006/main">
          <x14:cfRule type="expression" priority="8" id="{E5D1DAB7-A3D2-4B55-B8C9-EDAFB1F739B7}">
            <xm:f>IF($P$14&gt;Datas!$C$9,TRUE,FALSE)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R28</xm:sqref>
        </x14:conditionalFormatting>
        <x14:conditionalFormatting xmlns:xm="http://schemas.microsoft.com/office/excel/2006/main">
          <x14:cfRule type="expression" priority="7" id="{DE654491-4177-4825-960E-FCFF29599FF7}">
            <xm:f>IF($P$14&gt;Datas!$C$9,TRUE,FALSE)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T28</xm:sqref>
        </x14:conditionalFormatting>
        <x14:conditionalFormatting xmlns:xm="http://schemas.microsoft.com/office/excel/2006/main">
          <x14:cfRule type="expression" priority="3" id="{06FFA209-FDD1-47A6-85B7-5BBFC01F0C52}">
            <xm:f>IF($F8=Datas!$B$12,TRUE,FALSE)</xm:f>
            <x14:dxf>
              <fill>
                <patternFill>
                  <bgColor rgb="FFFFC000"/>
                </patternFill>
              </fill>
            </x14:dxf>
          </x14:cfRule>
          <xm:sqref>F8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Datas!$B$12:$B$17</xm:f>
          </x14:formula1>
          <xm:sqref>F7:G13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CV51"/>
  <sheetViews>
    <sheetView workbookViewId="0">
      <selection activeCell="CO46" sqref="CO46:CP51"/>
    </sheetView>
  </sheetViews>
  <sheetFormatPr baseColWidth="10" defaultColWidth="2.88671875" defaultRowHeight="13.2" x14ac:dyDescent="0.25"/>
  <sheetData>
    <row r="1" spans="1:100" x14ac:dyDescent="0.25">
      <c r="A1" s="95" t="s">
        <v>102</v>
      </c>
      <c r="R1" s="95" t="s">
        <v>105</v>
      </c>
      <c r="AI1" s="95" t="s">
        <v>106</v>
      </c>
      <c r="AZ1" s="95" t="s">
        <v>107</v>
      </c>
      <c r="BQ1" s="95" t="s">
        <v>108</v>
      </c>
      <c r="CH1" s="95" t="s">
        <v>109</v>
      </c>
    </row>
    <row r="2" spans="1:100" x14ac:dyDescent="0.25">
      <c r="A2" s="95"/>
      <c r="R2" s="95"/>
      <c r="AI2" s="95"/>
      <c r="AZ2" s="95"/>
      <c r="BQ2" s="95"/>
      <c r="CH2" s="95"/>
    </row>
    <row r="3" spans="1:100" ht="17.399999999999999" x14ac:dyDescent="0.25">
      <c r="A3" s="6" t="s">
        <v>103</v>
      </c>
      <c r="R3" s="6" t="s">
        <v>103</v>
      </c>
      <c r="AI3" s="6" t="s">
        <v>103</v>
      </c>
      <c r="AZ3" s="6" t="s">
        <v>103</v>
      </c>
      <c r="BQ3" s="6" t="s">
        <v>103</v>
      </c>
      <c r="CH3" s="6" t="s">
        <v>103</v>
      </c>
    </row>
    <row r="4" spans="1:100" x14ac:dyDescent="0.25">
      <c r="A4" s="46" t="s">
        <v>4</v>
      </c>
      <c r="B4" s="38"/>
      <c r="C4" s="39"/>
      <c r="D4" s="222" t="s">
        <v>88</v>
      </c>
      <c r="E4" s="223"/>
      <c r="F4" s="184">
        <v>0.33333333333333331</v>
      </c>
      <c r="G4" s="185"/>
      <c r="H4" s="180">
        <v>0.54166666666666663</v>
      </c>
      <c r="I4" s="181"/>
      <c r="J4" s="184">
        <v>0.60416666666666663</v>
      </c>
      <c r="K4" s="185"/>
      <c r="L4" s="180">
        <v>0.75</v>
      </c>
      <c r="M4" s="181"/>
      <c r="N4" s="169">
        <f>+IF(OR(AND(F4&lt;&gt;"",H4&lt;&gt;""),AND(J4&lt;&gt;"",L4&lt;&gt;"")),((H4-F4)+(L4-J4))*24,0)</f>
        <v>8.5</v>
      </c>
      <c r="O4" s="170"/>
      <c r="R4" s="46" t="s">
        <v>4</v>
      </c>
      <c r="S4" s="38"/>
      <c r="T4" s="39"/>
      <c r="U4" s="222" t="s">
        <v>88</v>
      </c>
      <c r="V4" s="223"/>
      <c r="W4" s="184">
        <v>0.33333333333333331</v>
      </c>
      <c r="X4" s="185"/>
      <c r="Y4" s="180">
        <v>0.54166666666666663</v>
      </c>
      <c r="Z4" s="181"/>
      <c r="AA4" s="184">
        <v>0.60416666666666663</v>
      </c>
      <c r="AB4" s="185"/>
      <c r="AC4" s="180">
        <v>0.66666666666666663</v>
      </c>
      <c r="AD4" s="181"/>
      <c r="AE4" s="169">
        <f>+IF(OR(AND(W4&lt;&gt;"",Y4&lt;&gt;""),AND(AA4&lt;&gt;"",AC4&lt;&gt;"")),((Y4-W4)+(AC4-AA4))*24,0)</f>
        <v>6.5</v>
      </c>
      <c r="AF4" s="170"/>
      <c r="AI4" s="46" t="s">
        <v>4</v>
      </c>
      <c r="AJ4" s="38"/>
      <c r="AK4" s="39"/>
      <c r="AL4" s="222" t="s">
        <v>88</v>
      </c>
      <c r="AM4" s="223"/>
      <c r="AN4" s="184">
        <v>0.33333333333333331</v>
      </c>
      <c r="AO4" s="185"/>
      <c r="AP4" s="180">
        <v>0.54166666666666663</v>
      </c>
      <c r="AQ4" s="181"/>
      <c r="AR4" s="184">
        <v>0.60416666666666663</v>
      </c>
      <c r="AS4" s="185"/>
      <c r="AT4" s="180">
        <v>0.75</v>
      </c>
      <c r="AU4" s="181"/>
      <c r="AV4" s="169">
        <f>+IF(OR(AND(AN4&lt;&gt;"",AP4&lt;&gt;""),AND(AR4&lt;&gt;"",AT4&lt;&gt;"")),((AP4-AN4)+(AT4-AR4))*24,0)</f>
        <v>8.5</v>
      </c>
      <c r="AW4" s="170"/>
      <c r="AZ4" s="46" t="s">
        <v>4</v>
      </c>
      <c r="BA4" s="38"/>
      <c r="BB4" s="39"/>
      <c r="BC4" s="222" t="s">
        <v>88</v>
      </c>
      <c r="BD4" s="223"/>
      <c r="BE4" s="184">
        <v>0.39583333333333331</v>
      </c>
      <c r="BF4" s="185"/>
      <c r="BG4" s="180">
        <v>0.5625</v>
      </c>
      <c r="BH4" s="181"/>
      <c r="BI4" s="184">
        <v>0.58333333333333337</v>
      </c>
      <c r="BJ4" s="185"/>
      <c r="BK4" s="180">
        <v>0.77083333333333337</v>
      </c>
      <c r="BL4" s="181"/>
      <c r="BM4" s="169">
        <f>+IF(OR(AND(BE4&lt;&gt;"",BG4&lt;&gt;""),AND(BI4&lt;&gt;"",BK4&lt;&gt;"")),((BG4-BE4)+(BK4-BI4))*24,0)</f>
        <v>8.5</v>
      </c>
      <c r="BN4" s="170"/>
      <c r="BQ4" s="46" t="s">
        <v>4</v>
      </c>
      <c r="BR4" s="38"/>
      <c r="BS4" s="39"/>
      <c r="BT4" s="222" t="s">
        <v>88</v>
      </c>
      <c r="BU4" s="223"/>
      <c r="BV4" s="184">
        <v>0.39583333333333331</v>
      </c>
      <c r="BW4" s="185"/>
      <c r="BX4" s="180">
        <v>0.5625</v>
      </c>
      <c r="BY4" s="181"/>
      <c r="BZ4" s="184">
        <v>0.58333333333333337</v>
      </c>
      <c r="CA4" s="185"/>
      <c r="CB4" s="180">
        <v>0.77083333333333337</v>
      </c>
      <c r="CC4" s="181"/>
      <c r="CD4" s="169">
        <f>+IF(OR(AND(BV4&lt;&gt;"",BX4&lt;&gt;""),AND(BZ4&lt;&gt;"",CB4&lt;&gt;"")),((BX4-BV4)+(CB4-BZ4))*24,0)</f>
        <v>8.5</v>
      </c>
      <c r="CE4" s="170"/>
      <c r="CH4" s="46" t="s">
        <v>4</v>
      </c>
      <c r="CI4" s="38"/>
      <c r="CJ4" s="39"/>
      <c r="CK4" s="222" t="s">
        <v>88</v>
      </c>
      <c r="CL4" s="223"/>
      <c r="CM4" s="184">
        <v>0.39583333333333331</v>
      </c>
      <c r="CN4" s="185"/>
      <c r="CO4" s="180">
        <v>0.5625</v>
      </c>
      <c r="CP4" s="181"/>
      <c r="CQ4" s="184">
        <v>0.58333333333333337</v>
      </c>
      <c r="CR4" s="185"/>
      <c r="CS4" s="180">
        <v>0.83333333333333337</v>
      </c>
      <c r="CT4" s="181"/>
      <c r="CU4" s="169">
        <f>+IF(OR(AND(CM4&lt;&gt;"",CO4&lt;&gt;""),AND(CQ4&lt;&gt;"",CS4&lt;&gt;"")),((CO4-CM4)+(CS4-CQ4))*24,0)</f>
        <v>10</v>
      </c>
      <c r="CV4" s="170"/>
    </row>
    <row r="5" spans="1:100" x14ac:dyDescent="0.25">
      <c r="A5" s="47" t="s">
        <v>5</v>
      </c>
      <c r="B5" s="40"/>
      <c r="C5" s="41"/>
      <c r="D5" s="224" t="s">
        <v>88</v>
      </c>
      <c r="E5" s="225"/>
      <c r="F5" s="119">
        <v>0.39583333333333331</v>
      </c>
      <c r="G5" s="120"/>
      <c r="H5" s="121">
        <v>0.5</v>
      </c>
      <c r="I5" s="122"/>
      <c r="J5" s="119">
        <v>0.5625</v>
      </c>
      <c r="K5" s="120"/>
      <c r="L5" s="121">
        <v>0.70833333333333337</v>
      </c>
      <c r="M5" s="122"/>
      <c r="N5" s="161">
        <f t="shared" ref="N5:N10" si="0">+IF(OR(AND(F5&lt;&gt;"",H5&lt;&gt;""),AND(J5&lt;&gt;"",L5&lt;&gt;"")),((H5-F5)+(L5-J5))*24,0)</f>
        <v>6.0000000000000018</v>
      </c>
      <c r="O5" s="162"/>
      <c r="R5" s="47" t="s">
        <v>5</v>
      </c>
      <c r="S5" s="40"/>
      <c r="T5" s="41"/>
      <c r="U5" s="224" t="s">
        <v>88</v>
      </c>
      <c r="V5" s="225"/>
      <c r="W5" s="119">
        <v>0.39583333333333331</v>
      </c>
      <c r="X5" s="120"/>
      <c r="Y5" s="121">
        <v>0.5</v>
      </c>
      <c r="Z5" s="122"/>
      <c r="AA5" s="119">
        <v>0.5625</v>
      </c>
      <c r="AB5" s="120"/>
      <c r="AC5" s="121">
        <v>0.70833333333333337</v>
      </c>
      <c r="AD5" s="122"/>
      <c r="AE5" s="161">
        <f t="shared" ref="AE5:AE6" si="1">+IF(OR(AND(W5&lt;&gt;"",Y5&lt;&gt;""),AND(AA5&lt;&gt;"",AC5&lt;&gt;"")),((Y5-W5)+(AC5-AA5))*24,0)</f>
        <v>6.0000000000000018</v>
      </c>
      <c r="AF5" s="162"/>
      <c r="AI5" s="47" t="s">
        <v>5</v>
      </c>
      <c r="AJ5" s="40"/>
      <c r="AK5" s="41"/>
      <c r="AL5" s="224" t="s">
        <v>88</v>
      </c>
      <c r="AM5" s="225"/>
      <c r="AN5" s="119">
        <v>0.39583333333333331</v>
      </c>
      <c r="AO5" s="120"/>
      <c r="AP5" s="121">
        <v>0.5</v>
      </c>
      <c r="AQ5" s="122"/>
      <c r="AR5" s="119">
        <v>0.5625</v>
      </c>
      <c r="AS5" s="120"/>
      <c r="AT5" s="121">
        <v>0.70833333333333337</v>
      </c>
      <c r="AU5" s="122"/>
      <c r="AV5" s="161">
        <f t="shared" ref="AV5:AV6" si="2">+IF(OR(AND(AN5&lt;&gt;"",AP5&lt;&gt;""),AND(AR5&lt;&gt;"",AT5&lt;&gt;"")),((AP5-AN5)+(AT5-AR5))*24,0)</f>
        <v>6.0000000000000018</v>
      </c>
      <c r="AW5" s="162"/>
      <c r="AZ5" s="47" t="s">
        <v>5</v>
      </c>
      <c r="BA5" s="40"/>
      <c r="BB5" s="41"/>
      <c r="BC5" s="224" t="s">
        <v>88</v>
      </c>
      <c r="BD5" s="225"/>
      <c r="BE5" s="119">
        <v>0.33333333333333331</v>
      </c>
      <c r="BF5" s="120"/>
      <c r="BG5" s="121">
        <v>0.5</v>
      </c>
      <c r="BH5" s="122"/>
      <c r="BI5" s="119">
        <v>0.5625</v>
      </c>
      <c r="BJ5" s="120"/>
      <c r="BK5" s="121">
        <v>0.8125</v>
      </c>
      <c r="BL5" s="122"/>
      <c r="BM5" s="161">
        <f t="shared" ref="BM5:BM6" si="3">+IF(OR(AND(BE5&lt;&gt;"",BG5&lt;&gt;""),AND(BI5&lt;&gt;"",BK5&lt;&gt;"")),((BG5-BE5)+(BK5-BI5))*24,0)</f>
        <v>10</v>
      </c>
      <c r="BN5" s="162"/>
      <c r="BQ5" s="47" t="s">
        <v>5</v>
      </c>
      <c r="BR5" s="40"/>
      <c r="BS5" s="41"/>
      <c r="BT5" s="224" t="s">
        <v>84</v>
      </c>
      <c r="BU5" s="225"/>
      <c r="BV5" s="119"/>
      <c r="BW5" s="120"/>
      <c r="BX5" s="121"/>
      <c r="BY5" s="122"/>
      <c r="BZ5" s="119"/>
      <c r="CA5" s="120"/>
      <c r="CB5" s="121"/>
      <c r="CC5" s="122"/>
      <c r="CD5" s="161">
        <f t="shared" ref="CD5:CD6" si="4">+IF(OR(AND(BV5&lt;&gt;"",BX5&lt;&gt;""),AND(BZ5&lt;&gt;"",CB5&lt;&gt;"")),((BX5-BV5)+(CB5-BZ5))*24,0)</f>
        <v>0</v>
      </c>
      <c r="CE5" s="162"/>
      <c r="CH5" s="47" t="s">
        <v>5</v>
      </c>
      <c r="CI5" s="40"/>
      <c r="CJ5" s="41"/>
      <c r="CK5" s="224" t="s">
        <v>84</v>
      </c>
      <c r="CL5" s="225"/>
      <c r="CM5" s="119"/>
      <c r="CN5" s="120"/>
      <c r="CO5" s="121"/>
      <c r="CP5" s="122"/>
      <c r="CQ5" s="119"/>
      <c r="CR5" s="120"/>
      <c r="CS5" s="121"/>
      <c r="CT5" s="122"/>
      <c r="CU5" s="161">
        <f t="shared" ref="CU5:CU6" si="5">+IF(OR(AND(CM5&lt;&gt;"",CO5&lt;&gt;""),AND(CQ5&lt;&gt;"",CS5&lt;&gt;"")),((CO5-CM5)+(CS5-CQ5))*24,0)</f>
        <v>0</v>
      </c>
      <c r="CV5" s="162"/>
    </row>
    <row r="6" spans="1:100" x14ac:dyDescent="0.25">
      <c r="A6" s="47" t="s">
        <v>6</v>
      </c>
      <c r="B6" s="40"/>
      <c r="C6" s="41"/>
      <c r="D6" s="224" t="s">
        <v>88</v>
      </c>
      <c r="E6" s="225"/>
      <c r="F6" s="119">
        <v>0.36458333333333331</v>
      </c>
      <c r="G6" s="120"/>
      <c r="H6" s="121">
        <v>0.5</v>
      </c>
      <c r="I6" s="122"/>
      <c r="J6" s="119">
        <v>0.54166666666666663</v>
      </c>
      <c r="K6" s="120"/>
      <c r="L6" s="121">
        <v>0.72916666666666663</v>
      </c>
      <c r="M6" s="122"/>
      <c r="N6" s="161">
        <f t="shared" si="0"/>
        <v>7.75</v>
      </c>
      <c r="O6" s="162"/>
      <c r="R6" s="47" t="s">
        <v>6</v>
      </c>
      <c r="S6" s="40"/>
      <c r="T6" s="41"/>
      <c r="U6" s="224" t="s">
        <v>88</v>
      </c>
      <c r="V6" s="225"/>
      <c r="W6" s="119">
        <v>0.33333333333333331</v>
      </c>
      <c r="X6" s="120"/>
      <c r="Y6" s="121">
        <v>0.5</v>
      </c>
      <c r="Z6" s="122"/>
      <c r="AA6" s="119">
        <v>0.5</v>
      </c>
      <c r="AB6" s="120"/>
      <c r="AC6" s="121">
        <v>0.6875</v>
      </c>
      <c r="AD6" s="122"/>
      <c r="AE6" s="161">
        <f t="shared" si="1"/>
        <v>8.5</v>
      </c>
      <c r="AF6" s="162"/>
      <c r="AI6" s="47" t="s">
        <v>6</v>
      </c>
      <c r="AJ6" s="40"/>
      <c r="AK6" s="41"/>
      <c r="AL6" s="224" t="s">
        <v>88</v>
      </c>
      <c r="AM6" s="225"/>
      <c r="AN6" s="119">
        <v>0.36458333333333331</v>
      </c>
      <c r="AO6" s="120"/>
      <c r="AP6" s="121">
        <v>0.5</v>
      </c>
      <c r="AQ6" s="122"/>
      <c r="AR6" s="119">
        <v>0.66666666666666663</v>
      </c>
      <c r="AS6" s="120"/>
      <c r="AT6" s="121">
        <v>0.9375</v>
      </c>
      <c r="AU6" s="122"/>
      <c r="AV6" s="161">
        <f t="shared" si="2"/>
        <v>9.7500000000000018</v>
      </c>
      <c r="AW6" s="162"/>
      <c r="AZ6" s="47" t="s">
        <v>6</v>
      </c>
      <c r="BA6" s="40"/>
      <c r="BB6" s="41"/>
      <c r="BC6" s="224" t="s">
        <v>88</v>
      </c>
      <c r="BD6" s="225"/>
      <c r="BE6" s="119">
        <v>0.33333333333333331</v>
      </c>
      <c r="BF6" s="120"/>
      <c r="BG6" s="121">
        <v>0.52083333333333337</v>
      </c>
      <c r="BH6" s="122"/>
      <c r="BI6" s="119">
        <v>0.5625</v>
      </c>
      <c r="BJ6" s="120"/>
      <c r="BK6" s="121">
        <v>0.79166666666666663</v>
      </c>
      <c r="BL6" s="122"/>
      <c r="BM6" s="161">
        <f t="shared" si="3"/>
        <v>10</v>
      </c>
      <c r="BN6" s="162"/>
      <c r="BQ6" s="47" t="s">
        <v>6</v>
      </c>
      <c r="BR6" s="40"/>
      <c r="BS6" s="41"/>
      <c r="BT6" s="224" t="s">
        <v>88</v>
      </c>
      <c r="BU6" s="225"/>
      <c r="BV6" s="119">
        <v>0.33333333333333331</v>
      </c>
      <c r="BW6" s="120"/>
      <c r="BX6" s="121">
        <v>0.52083333333333337</v>
      </c>
      <c r="BY6" s="122"/>
      <c r="BZ6" s="119">
        <v>0.5625</v>
      </c>
      <c r="CA6" s="120"/>
      <c r="CB6" s="121">
        <v>0.79166666666666663</v>
      </c>
      <c r="CC6" s="122"/>
      <c r="CD6" s="161">
        <f t="shared" si="4"/>
        <v>10</v>
      </c>
      <c r="CE6" s="162"/>
      <c r="CH6" s="47" t="s">
        <v>6</v>
      </c>
      <c r="CI6" s="40"/>
      <c r="CJ6" s="41"/>
      <c r="CK6" s="224" t="s">
        <v>88</v>
      </c>
      <c r="CL6" s="225"/>
      <c r="CM6" s="119">
        <v>0.33333333333333331</v>
      </c>
      <c r="CN6" s="120"/>
      <c r="CO6" s="121">
        <v>0.52083333333333337</v>
      </c>
      <c r="CP6" s="122"/>
      <c r="CQ6" s="119">
        <v>0.5625</v>
      </c>
      <c r="CR6" s="120"/>
      <c r="CS6" s="121">
        <v>0.83333333333333337</v>
      </c>
      <c r="CT6" s="122"/>
      <c r="CU6" s="161">
        <f t="shared" si="5"/>
        <v>11.000000000000002</v>
      </c>
      <c r="CV6" s="162"/>
    </row>
    <row r="7" spans="1:100" x14ac:dyDescent="0.25">
      <c r="A7" s="47" t="s">
        <v>7</v>
      </c>
      <c r="B7" s="40"/>
      <c r="C7" s="41"/>
      <c r="D7" s="224" t="s">
        <v>88</v>
      </c>
      <c r="E7" s="225"/>
      <c r="F7" s="119">
        <v>0.35416666666666669</v>
      </c>
      <c r="G7" s="120"/>
      <c r="H7" s="121">
        <v>0.5</v>
      </c>
      <c r="I7" s="122"/>
      <c r="J7" s="119">
        <v>0.5625</v>
      </c>
      <c r="K7" s="120"/>
      <c r="L7" s="121">
        <v>0.70833333333333337</v>
      </c>
      <c r="M7" s="122"/>
      <c r="N7" s="161">
        <f>+IF(OR(AND(F7&lt;&gt;"",H7&lt;&gt;""),AND(J7&lt;&gt;"",L7&lt;&gt;"")),((H7-F7)+(L7-J7))*24,0)</f>
        <v>7</v>
      </c>
      <c r="O7" s="162"/>
      <c r="R7" s="47" t="s">
        <v>7</v>
      </c>
      <c r="S7" s="40"/>
      <c r="T7" s="41"/>
      <c r="U7" s="224" t="s">
        <v>88</v>
      </c>
      <c r="V7" s="225"/>
      <c r="W7" s="119">
        <v>0.35416666666666669</v>
      </c>
      <c r="X7" s="120"/>
      <c r="Y7" s="121">
        <v>0.5</v>
      </c>
      <c r="Z7" s="122"/>
      <c r="AA7" s="119">
        <v>0.5625</v>
      </c>
      <c r="AB7" s="120"/>
      <c r="AC7" s="121">
        <v>0.70833333333333337</v>
      </c>
      <c r="AD7" s="122"/>
      <c r="AE7" s="161">
        <f>+IF(OR(AND(W7&lt;&gt;"",Y7&lt;&gt;""),AND(AA7&lt;&gt;"",AC7&lt;&gt;"")),((Y7-W7)+(AC7-AA7))*24,0)</f>
        <v>7</v>
      </c>
      <c r="AF7" s="162"/>
      <c r="AI7" s="47" t="s">
        <v>7</v>
      </c>
      <c r="AJ7" s="40"/>
      <c r="AK7" s="41"/>
      <c r="AL7" s="224" t="s">
        <v>88</v>
      </c>
      <c r="AM7" s="225"/>
      <c r="AN7" s="119">
        <v>0.35416666666666669</v>
      </c>
      <c r="AO7" s="120"/>
      <c r="AP7" s="121">
        <v>0.5</v>
      </c>
      <c r="AQ7" s="122"/>
      <c r="AR7" s="119">
        <v>0.5625</v>
      </c>
      <c r="AS7" s="120"/>
      <c r="AT7" s="121">
        <v>0.70833333333333337</v>
      </c>
      <c r="AU7" s="122"/>
      <c r="AV7" s="161">
        <f>+IF(OR(AND(AN7&lt;&gt;"",AP7&lt;&gt;""),AND(AR7&lt;&gt;"",AT7&lt;&gt;"")),((AP7-AN7)+(AT7-AR7))*24,0)</f>
        <v>7</v>
      </c>
      <c r="AW7" s="162"/>
      <c r="AZ7" s="47" t="s">
        <v>7</v>
      </c>
      <c r="BA7" s="40"/>
      <c r="BB7" s="41"/>
      <c r="BC7" s="224" t="s">
        <v>88</v>
      </c>
      <c r="BD7" s="225"/>
      <c r="BE7" s="119">
        <v>0.39583333333333331</v>
      </c>
      <c r="BF7" s="120"/>
      <c r="BG7" s="121">
        <v>0.5</v>
      </c>
      <c r="BH7" s="122"/>
      <c r="BI7" s="119">
        <v>0.5625</v>
      </c>
      <c r="BJ7" s="120"/>
      <c r="BK7" s="121">
        <v>0.75</v>
      </c>
      <c r="BL7" s="122"/>
      <c r="BM7" s="161">
        <f>+IF(OR(AND(BE7&lt;&gt;"",BG7&lt;&gt;""),AND(BI7&lt;&gt;"",BK7&lt;&gt;"")),((BG7-BE7)+(BK7-BI7))*24,0)</f>
        <v>7</v>
      </c>
      <c r="BN7" s="162"/>
      <c r="BQ7" s="47" t="s">
        <v>7</v>
      </c>
      <c r="BR7" s="40"/>
      <c r="BS7" s="41"/>
      <c r="BT7" s="224" t="s">
        <v>88</v>
      </c>
      <c r="BU7" s="225"/>
      <c r="BV7" s="119">
        <v>0.39583333333333331</v>
      </c>
      <c r="BW7" s="120"/>
      <c r="BX7" s="121">
        <v>0.5</v>
      </c>
      <c r="BY7" s="122"/>
      <c r="BZ7" s="119">
        <v>0.5625</v>
      </c>
      <c r="CA7" s="120"/>
      <c r="CB7" s="121">
        <v>0.75</v>
      </c>
      <c r="CC7" s="122"/>
      <c r="CD7" s="161">
        <f>+IF(OR(AND(BV7&lt;&gt;"",BX7&lt;&gt;""),AND(BZ7&lt;&gt;"",CB7&lt;&gt;"")),((BX7-BV7)+(CB7-BZ7))*24,0)</f>
        <v>7</v>
      </c>
      <c r="CE7" s="162"/>
      <c r="CH7" s="47" t="s">
        <v>7</v>
      </c>
      <c r="CI7" s="40"/>
      <c r="CJ7" s="41"/>
      <c r="CK7" s="224" t="s">
        <v>88</v>
      </c>
      <c r="CL7" s="225"/>
      <c r="CM7" s="119">
        <v>0.39583333333333331</v>
      </c>
      <c r="CN7" s="120"/>
      <c r="CO7" s="121">
        <v>0.5</v>
      </c>
      <c r="CP7" s="122"/>
      <c r="CQ7" s="119">
        <v>0.5625</v>
      </c>
      <c r="CR7" s="120"/>
      <c r="CS7" s="121">
        <v>0.83333333333333337</v>
      </c>
      <c r="CT7" s="122"/>
      <c r="CU7" s="161">
        <f>+IF(OR(AND(CM7&lt;&gt;"",CO7&lt;&gt;""),AND(CQ7&lt;&gt;"",CS7&lt;&gt;"")),((CO7-CM7)+(CS7-CQ7))*24,0)</f>
        <v>9.0000000000000018</v>
      </c>
      <c r="CV7" s="162"/>
    </row>
    <row r="8" spans="1:100" x14ac:dyDescent="0.25">
      <c r="A8" s="47" t="s">
        <v>8</v>
      </c>
      <c r="B8" s="40"/>
      <c r="C8" s="41"/>
      <c r="D8" s="224" t="s">
        <v>88</v>
      </c>
      <c r="E8" s="225"/>
      <c r="F8" s="119">
        <v>0.33333333333333331</v>
      </c>
      <c r="G8" s="120"/>
      <c r="H8" s="121">
        <v>0.5</v>
      </c>
      <c r="I8" s="122"/>
      <c r="J8" s="119">
        <v>0.54166666666666663</v>
      </c>
      <c r="K8" s="120"/>
      <c r="L8" s="121">
        <v>0.72916666666666663</v>
      </c>
      <c r="M8" s="122"/>
      <c r="N8" s="161">
        <f t="shared" si="0"/>
        <v>8.5</v>
      </c>
      <c r="O8" s="162"/>
      <c r="R8" s="47" t="s">
        <v>8</v>
      </c>
      <c r="S8" s="40"/>
      <c r="T8" s="41"/>
      <c r="U8" s="224" t="s">
        <v>88</v>
      </c>
      <c r="V8" s="225"/>
      <c r="W8" s="119">
        <v>0.33333333333333331</v>
      </c>
      <c r="X8" s="120"/>
      <c r="Y8" s="121">
        <v>0.5</v>
      </c>
      <c r="Z8" s="122"/>
      <c r="AA8" s="119">
        <v>0.54166666666666663</v>
      </c>
      <c r="AB8" s="120"/>
      <c r="AC8" s="121">
        <v>0.625</v>
      </c>
      <c r="AD8" s="122"/>
      <c r="AE8" s="161">
        <f t="shared" ref="AE8:AE10" si="6">+IF(OR(AND(W8&lt;&gt;"",Y8&lt;&gt;""),AND(AA8&lt;&gt;"",AC8&lt;&gt;"")),((Y8-W8)+(AC8-AA8))*24,0)</f>
        <v>6.0000000000000018</v>
      </c>
      <c r="AF8" s="162"/>
      <c r="AI8" s="47" t="s">
        <v>8</v>
      </c>
      <c r="AJ8" s="40"/>
      <c r="AK8" s="41"/>
      <c r="AL8" s="224" t="s">
        <v>88</v>
      </c>
      <c r="AM8" s="225"/>
      <c r="AN8" s="119">
        <v>0.33333333333333331</v>
      </c>
      <c r="AO8" s="120"/>
      <c r="AP8" s="121">
        <v>0.5</v>
      </c>
      <c r="AQ8" s="122"/>
      <c r="AR8" s="119">
        <v>0.54166666666666663</v>
      </c>
      <c r="AS8" s="120"/>
      <c r="AT8" s="121">
        <v>0.72916666666666663</v>
      </c>
      <c r="AU8" s="122"/>
      <c r="AV8" s="161">
        <f t="shared" ref="AV8:AV10" si="7">+IF(OR(AND(AN8&lt;&gt;"",AP8&lt;&gt;""),AND(AR8&lt;&gt;"",AT8&lt;&gt;"")),((AP8-AN8)+(AT8-AR8))*24,0)</f>
        <v>8.5</v>
      </c>
      <c r="AW8" s="162"/>
      <c r="AZ8" s="47" t="s">
        <v>8</v>
      </c>
      <c r="BA8" s="40"/>
      <c r="BB8" s="41"/>
      <c r="BC8" s="224" t="s">
        <v>88</v>
      </c>
      <c r="BD8" s="225"/>
      <c r="BE8" s="119">
        <v>0.375</v>
      </c>
      <c r="BF8" s="120"/>
      <c r="BG8" s="121">
        <v>0.5</v>
      </c>
      <c r="BH8" s="122"/>
      <c r="BI8" s="119">
        <v>0.5</v>
      </c>
      <c r="BJ8" s="120"/>
      <c r="BK8" s="121">
        <v>0.64583333333333337</v>
      </c>
      <c r="BL8" s="122"/>
      <c r="BM8" s="161">
        <f t="shared" ref="BM8:BM10" si="8">+IF(OR(AND(BE8&lt;&gt;"",BG8&lt;&gt;""),AND(BI8&lt;&gt;"",BK8&lt;&gt;"")),((BG8-BE8)+(BK8-BI8))*24,0)</f>
        <v>6.5000000000000009</v>
      </c>
      <c r="BN8" s="162"/>
      <c r="BQ8" s="47" t="s">
        <v>8</v>
      </c>
      <c r="BR8" s="40"/>
      <c r="BS8" s="41"/>
      <c r="BT8" s="224" t="s">
        <v>88</v>
      </c>
      <c r="BU8" s="225"/>
      <c r="BV8" s="119">
        <v>0.375</v>
      </c>
      <c r="BW8" s="120"/>
      <c r="BX8" s="121">
        <v>0.5</v>
      </c>
      <c r="BY8" s="122"/>
      <c r="BZ8" s="119">
        <v>0.5</v>
      </c>
      <c r="CA8" s="120"/>
      <c r="CB8" s="121">
        <v>0.64583333333333337</v>
      </c>
      <c r="CC8" s="122"/>
      <c r="CD8" s="161">
        <f t="shared" ref="CD8:CD10" si="9">+IF(OR(AND(BV8&lt;&gt;"",BX8&lt;&gt;""),AND(BZ8&lt;&gt;"",CB8&lt;&gt;"")),((BX8-BV8)+(CB8-BZ8))*24,0)</f>
        <v>6.5000000000000009</v>
      </c>
      <c r="CE8" s="162"/>
      <c r="CH8" s="47" t="s">
        <v>8</v>
      </c>
      <c r="CI8" s="40"/>
      <c r="CJ8" s="41"/>
      <c r="CK8" s="224" t="s">
        <v>88</v>
      </c>
      <c r="CL8" s="225"/>
      <c r="CM8" s="119">
        <v>0.375</v>
      </c>
      <c r="CN8" s="120"/>
      <c r="CO8" s="121">
        <v>0.5</v>
      </c>
      <c r="CP8" s="122"/>
      <c r="CQ8" s="119">
        <v>0.5</v>
      </c>
      <c r="CR8" s="120"/>
      <c r="CS8" s="121">
        <v>0.85416666666666663</v>
      </c>
      <c r="CT8" s="122"/>
      <c r="CU8" s="161">
        <f t="shared" ref="CU8:CU10" si="10">+IF(OR(AND(CM8&lt;&gt;"",CO8&lt;&gt;""),AND(CQ8&lt;&gt;"",CS8&lt;&gt;"")),((CO8-CM8)+(CS8-CQ8))*24,0)</f>
        <v>11.5</v>
      </c>
      <c r="CV8" s="162"/>
    </row>
    <row r="9" spans="1:100" x14ac:dyDescent="0.25">
      <c r="A9" s="47" t="s">
        <v>9</v>
      </c>
      <c r="B9" s="40"/>
      <c r="C9" s="41"/>
      <c r="D9" s="224" t="s">
        <v>90</v>
      </c>
      <c r="E9" s="226"/>
      <c r="F9" s="119"/>
      <c r="G9" s="120"/>
      <c r="H9" s="121"/>
      <c r="I9" s="122"/>
      <c r="J9" s="119"/>
      <c r="K9" s="120"/>
      <c r="L9" s="121"/>
      <c r="M9" s="122"/>
      <c r="N9" s="161">
        <f t="shared" si="0"/>
        <v>0</v>
      </c>
      <c r="O9" s="162"/>
      <c r="R9" s="47" t="s">
        <v>9</v>
      </c>
      <c r="S9" s="40"/>
      <c r="T9" s="41"/>
      <c r="U9" s="224" t="s">
        <v>90</v>
      </c>
      <c r="V9" s="226"/>
      <c r="W9" s="119"/>
      <c r="X9" s="120"/>
      <c r="Y9" s="121"/>
      <c r="Z9" s="122"/>
      <c r="AA9" s="119"/>
      <c r="AB9" s="120"/>
      <c r="AC9" s="121"/>
      <c r="AD9" s="122"/>
      <c r="AE9" s="161">
        <f t="shared" si="6"/>
        <v>0</v>
      </c>
      <c r="AF9" s="162"/>
      <c r="AI9" s="47" t="s">
        <v>9</v>
      </c>
      <c r="AJ9" s="40"/>
      <c r="AK9" s="41"/>
      <c r="AL9" s="224" t="s">
        <v>90</v>
      </c>
      <c r="AM9" s="226"/>
      <c r="AN9" s="119"/>
      <c r="AO9" s="120"/>
      <c r="AP9" s="121"/>
      <c r="AQ9" s="122"/>
      <c r="AR9" s="119"/>
      <c r="AS9" s="120"/>
      <c r="AT9" s="121"/>
      <c r="AU9" s="122"/>
      <c r="AV9" s="161">
        <f t="shared" si="7"/>
        <v>0</v>
      </c>
      <c r="AW9" s="162"/>
      <c r="AZ9" s="47" t="s">
        <v>9</v>
      </c>
      <c r="BA9" s="40"/>
      <c r="BB9" s="41"/>
      <c r="BC9" s="224" t="s">
        <v>90</v>
      </c>
      <c r="BD9" s="226"/>
      <c r="BE9" s="119"/>
      <c r="BF9" s="120"/>
      <c r="BG9" s="121"/>
      <c r="BH9" s="122"/>
      <c r="BI9" s="119"/>
      <c r="BJ9" s="120"/>
      <c r="BK9" s="121"/>
      <c r="BL9" s="122"/>
      <c r="BM9" s="161">
        <f t="shared" si="8"/>
        <v>0</v>
      </c>
      <c r="BN9" s="162"/>
      <c r="BQ9" s="47" t="s">
        <v>9</v>
      </c>
      <c r="BR9" s="40"/>
      <c r="BS9" s="41"/>
      <c r="BT9" s="224" t="s">
        <v>90</v>
      </c>
      <c r="BU9" s="226"/>
      <c r="BV9" s="119"/>
      <c r="BW9" s="120"/>
      <c r="BX9" s="121"/>
      <c r="BY9" s="122"/>
      <c r="BZ9" s="119"/>
      <c r="CA9" s="120"/>
      <c r="CB9" s="121"/>
      <c r="CC9" s="122"/>
      <c r="CD9" s="161">
        <f t="shared" si="9"/>
        <v>0</v>
      </c>
      <c r="CE9" s="162"/>
      <c r="CH9" s="47" t="s">
        <v>9</v>
      </c>
      <c r="CI9" s="40"/>
      <c r="CJ9" s="41"/>
      <c r="CK9" s="224" t="s">
        <v>90</v>
      </c>
      <c r="CL9" s="226"/>
      <c r="CM9" s="119"/>
      <c r="CN9" s="120"/>
      <c r="CO9" s="121"/>
      <c r="CP9" s="122"/>
      <c r="CQ9" s="119"/>
      <c r="CR9" s="120"/>
      <c r="CS9" s="121"/>
      <c r="CT9" s="122"/>
      <c r="CU9" s="161">
        <f t="shared" si="10"/>
        <v>0</v>
      </c>
      <c r="CV9" s="162"/>
    </row>
    <row r="10" spans="1:100" x14ac:dyDescent="0.25">
      <c r="A10" s="48" t="s">
        <v>10</v>
      </c>
      <c r="B10" s="42"/>
      <c r="C10" s="43"/>
      <c r="D10" s="281" t="s">
        <v>90</v>
      </c>
      <c r="E10" s="282"/>
      <c r="F10" s="123"/>
      <c r="G10" s="124"/>
      <c r="H10" s="125"/>
      <c r="I10" s="126"/>
      <c r="J10" s="123"/>
      <c r="K10" s="124"/>
      <c r="L10" s="125"/>
      <c r="M10" s="126"/>
      <c r="N10" s="163">
        <f t="shared" si="0"/>
        <v>0</v>
      </c>
      <c r="O10" s="164"/>
      <c r="R10" s="48" t="s">
        <v>10</v>
      </c>
      <c r="S10" s="42"/>
      <c r="T10" s="43"/>
      <c r="U10" s="281" t="s">
        <v>90</v>
      </c>
      <c r="V10" s="282"/>
      <c r="W10" s="123"/>
      <c r="X10" s="124"/>
      <c r="Y10" s="125"/>
      <c r="Z10" s="126"/>
      <c r="AA10" s="123"/>
      <c r="AB10" s="124"/>
      <c r="AC10" s="125"/>
      <c r="AD10" s="126"/>
      <c r="AE10" s="163">
        <f t="shared" si="6"/>
        <v>0</v>
      </c>
      <c r="AF10" s="164"/>
      <c r="AI10" s="48" t="s">
        <v>10</v>
      </c>
      <c r="AJ10" s="42"/>
      <c r="AK10" s="43"/>
      <c r="AL10" s="281" t="s">
        <v>90</v>
      </c>
      <c r="AM10" s="282"/>
      <c r="AN10" s="123"/>
      <c r="AO10" s="124"/>
      <c r="AP10" s="125"/>
      <c r="AQ10" s="126"/>
      <c r="AR10" s="123"/>
      <c r="AS10" s="124"/>
      <c r="AT10" s="125"/>
      <c r="AU10" s="126"/>
      <c r="AV10" s="163">
        <f t="shared" si="7"/>
        <v>0</v>
      </c>
      <c r="AW10" s="164"/>
      <c r="AZ10" s="48" t="s">
        <v>10</v>
      </c>
      <c r="BA10" s="42"/>
      <c r="BB10" s="43"/>
      <c r="BC10" s="281" t="s">
        <v>90</v>
      </c>
      <c r="BD10" s="282"/>
      <c r="BE10" s="123"/>
      <c r="BF10" s="124"/>
      <c r="BG10" s="125"/>
      <c r="BH10" s="126"/>
      <c r="BI10" s="123"/>
      <c r="BJ10" s="124"/>
      <c r="BK10" s="125"/>
      <c r="BL10" s="126"/>
      <c r="BM10" s="163">
        <f t="shared" si="8"/>
        <v>0</v>
      </c>
      <c r="BN10" s="164"/>
      <c r="BQ10" s="48" t="s">
        <v>10</v>
      </c>
      <c r="BR10" s="42"/>
      <c r="BS10" s="43"/>
      <c r="BT10" s="281" t="s">
        <v>90</v>
      </c>
      <c r="BU10" s="282"/>
      <c r="BV10" s="123"/>
      <c r="BW10" s="124"/>
      <c r="BX10" s="125"/>
      <c r="BY10" s="126"/>
      <c r="BZ10" s="123"/>
      <c r="CA10" s="124"/>
      <c r="CB10" s="125"/>
      <c r="CC10" s="126"/>
      <c r="CD10" s="163">
        <f t="shared" si="9"/>
        <v>0</v>
      </c>
      <c r="CE10" s="164"/>
      <c r="CH10" s="48" t="s">
        <v>10</v>
      </c>
      <c r="CI10" s="42"/>
      <c r="CJ10" s="43"/>
      <c r="CK10" s="281" t="s">
        <v>90</v>
      </c>
      <c r="CL10" s="282"/>
      <c r="CM10" s="123"/>
      <c r="CN10" s="124"/>
      <c r="CO10" s="125"/>
      <c r="CP10" s="126"/>
      <c r="CQ10" s="123"/>
      <c r="CR10" s="124"/>
      <c r="CS10" s="125"/>
      <c r="CT10" s="126"/>
      <c r="CU10" s="163">
        <f t="shared" si="10"/>
        <v>0</v>
      </c>
      <c r="CV10" s="164"/>
    </row>
    <row r="11" spans="1:100" x14ac:dyDescent="0.25">
      <c r="A11" s="49" t="s">
        <v>11</v>
      </c>
      <c r="B11" s="44"/>
      <c r="C11" s="45"/>
      <c r="D11" s="283"/>
      <c r="E11" s="284"/>
      <c r="F11" s="284"/>
      <c r="G11" s="284"/>
      <c r="H11" s="284"/>
      <c r="I11" s="284"/>
      <c r="J11" s="284"/>
      <c r="K11" s="284"/>
      <c r="L11" s="284"/>
      <c r="M11" s="285"/>
      <c r="N11" s="166">
        <f>SUM(N4:O10)</f>
        <v>37.75</v>
      </c>
      <c r="O11" s="167"/>
      <c r="R11" s="49" t="s">
        <v>11</v>
      </c>
      <c r="S11" s="44"/>
      <c r="T11" s="45"/>
      <c r="U11" s="283"/>
      <c r="V11" s="284"/>
      <c r="W11" s="284"/>
      <c r="X11" s="284"/>
      <c r="Y11" s="284"/>
      <c r="Z11" s="284"/>
      <c r="AA11" s="284"/>
      <c r="AB11" s="284"/>
      <c r="AC11" s="284"/>
      <c r="AD11" s="285"/>
      <c r="AE11" s="166">
        <f>SUM(AE4:AF10)</f>
        <v>34</v>
      </c>
      <c r="AF11" s="167"/>
      <c r="AI11" s="49" t="s">
        <v>11</v>
      </c>
      <c r="AJ11" s="44"/>
      <c r="AK11" s="45"/>
      <c r="AL11" s="283"/>
      <c r="AM11" s="284"/>
      <c r="AN11" s="284"/>
      <c r="AO11" s="284"/>
      <c r="AP11" s="284"/>
      <c r="AQ11" s="284"/>
      <c r="AR11" s="284"/>
      <c r="AS11" s="284"/>
      <c r="AT11" s="284"/>
      <c r="AU11" s="285"/>
      <c r="AV11" s="166">
        <f>SUM(AV4:AW10)</f>
        <v>39.75</v>
      </c>
      <c r="AW11" s="167"/>
      <c r="AZ11" s="49" t="s">
        <v>11</v>
      </c>
      <c r="BA11" s="44"/>
      <c r="BB11" s="45"/>
      <c r="BC11" s="283"/>
      <c r="BD11" s="284"/>
      <c r="BE11" s="284"/>
      <c r="BF11" s="284"/>
      <c r="BG11" s="284"/>
      <c r="BH11" s="284"/>
      <c r="BI11" s="284"/>
      <c r="BJ11" s="284"/>
      <c r="BK11" s="284"/>
      <c r="BL11" s="285"/>
      <c r="BM11" s="166">
        <f>SUM(BM4:BN10)</f>
        <v>42</v>
      </c>
      <c r="BN11" s="167"/>
      <c r="BQ11" s="49" t="s">
        <v>11</v>
      </c>
      <c r="BR11" s="44"/>
      <c r="BS11" s="45"/>
      <c r="BT11" s="283"/>
      <c r="BU11" s="284"/>
      <c r="BV11" s="284"/>
      <c r="BW11" s="284"/>
      <c r="BX11" s="284"/>
      <c r="BY11" s="284"/>
      <c r="BZ11" s="284"/>
      <c r="CA11" s="284"/>
      <c r="CB11" s="284"/>
      <c r="CC11" s="285"/>
      <c r="CD11" s="166">
        <f>SUM(CD4:CE10)</f>
        <v>32</v>
      </c>
      <c r="CE11" s="167"/>
      <c r="CH11" s="49" t="s">
        <v>11</v>
      </c>
      <c r="CI11" s="44"/>
      <c r="CJ11" s="45"/>
      <c r="CK11" s="283"/>
      <c r="CL11" s="284"/>
      <c r="CM11" s="284"/>
      <c r="CN11" s="284"/>
      <c r="CO11" s="284"/>
      <c r="CP11" s="284"/>
      <c r="CQ11" s="284"/>
      <c r="CR11" s="284"/>
      <c r="CS11" s="284"/>
      <c r="CT11" s="285"/>
      <c r="CU11" s="166">
        <f>SUM(CU4:CV10)</f>
        <v>41.5</v>
      </c>
      <c r="CV11" s="167"/>
    </row>
    <row r="12" spans="1:100" ht="17.399999999999999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</row>
    <row r="13" spans="1:100" x14ac:dyDescent="0.25">
      <c r="A13" s="8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R13" s="8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I13" s="8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Z13" s="8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Q13" s="8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H13" s="8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</row>
    <row r="14" spans="1:100" x14ac:dyDescent="0.25">
      <c r="A14" s="8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80"/>
      <c r="R14" s="8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80"/>
      <c r="AI14" s="8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80"/>
      <c r="AZ14" s="8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80"/>
      <c r="BQ14" s="8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80"/>
      <c r="CH14" s="8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80"/>
    </row>
    <row r="15" spans="1:100" ht="17.399999999999999" x14ac:dyDescent="0.25">
      <c r="A15" s="6" t="s">
        <v>104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R15" s="6" t="s">
        <v>104</v>
      </c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I15" s="6" t="s">
        <v>104</v>
      </c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Z15" s="6" t="s">
        <v>104</v>
      </c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Q15" s="6" t="s">
        <v>104</v>
      </c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H15" s="6" t="s">
        <v>104</v>
      </c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</row>
    <row r="16" spans="1:100" x14ac:dyDescent="0.25">
      <c r="A16" s="46" t="s">
        <v>4</v>
      </c>
      <c r="B16" s="54"/>
      <c r="C16" s="55"/>
      <c r="D16" s="209" t="str">
        <f t="shared" ref="D16:D22" si="11">+D4</f>
        <v>Jour Trav.</v>
      </c>
      <c r="E16" s="210"/>
      <c r="F16" s="184"/>
      <c r="G16" s="185"/>
      <c r="H16" s="180"/>
      <c r="I16" s="181"/>
      <c r="J16" s="184"/>
      <c r="K16" s="185"/>
      <c r="L16" s="180"/>
      <c r="M16" s="181"/>
      <c r="N16" s="169">
        <f>+IF(OR(AND(F16&lt;&gt;"",H16&lt;&gt;""),AND(J16&lt;&gt;"",L16&lt;&gt;"")),((H16-F16)+(L16-J16))*24,0)</f>
        <v>0</v>
      </c>
      <c r="O16" s="170"/>
      <c r="R16" s="46" t="s">
        <v>4</v>
      </c>
      <c r="S16" s="54"/>
      <c r="T16" s="55"/>
      <c r="U16" s="209" t="str">
        <f t="shared" ref="U16:U22" si="12">+U4</f>
        <v>Jour Trav.</v>
      </c>
      <c r="V16" s="210"/>
      <c r="W16" s="184">
        <v>0.29166666666666669</v>
      </c>
      <c r="X16" s="185"/>
      <c r="Y16" s="180">
        <v>0.33333333333333331</v>
      </c>
      <c r="Z16" s="181"/>
      <c r="AA16" s="184"/>
      <c r="AB16" s="185"/>
      <c r="AC16" s="180"/>
      <c r="AD16" s="181"/>
      <c r="AE16" s="169">
        <f>+IF(OR(AND(W16&lt;&gt;"",Y16&lt;&gt;""),AND(AA16&lt;&gt;"",AC16&lt;&gt;"")),((Y16-W16)+(AC16-AA16))*24,0)</f>
        <v>0.99999999999999911</v>
      </c>
      <c r="AF16" s="170"/>
      <c r="AI16" s="46" t="s">
        <v>4</v>
      </c>
      <c r="AJ16" s="54"/>
      <c r="AK16" s="55"/>
      <c r="AL16" s="209" t="str">
        <f t="shared" ref="AL16:AL22" si="13">+AL4</f>
        <v>Jour Trav.</v>
      </c>
      <c r="AM16" s="210"/>
      <c r="AN16" s="184">
        <v>0.25</v>
      </c>
      <c r="AO16" s="185"/>
      <c r="AP16" s="180">
        <v>0.33333333333333331</v>
      </c>
      <c r="AQ16" s="181"/>
      <c r="AR16" s="184"/>
      <c r="AS16" s="185"/>
      <c r="AT16" s="180"/>
      <c r="AU16" s="181"/>
      <c r="AV16" s="169">
        <f>+IF(OR(AND(AN16&lt;&gt;"",AP16&lt;&gt;""),AND(AR16&lt;&gt;"",AT16&lt;&gt;"")),((AP16-AN16)+(AT16-AR16))*24,0)</f>
        <v>1.9999999999999996</v>
      </c>
      <c r="AW16" s="170"/>
      <c r="AZ16" s="46" t="s">
        <v>4</v>
      </c>
      <c r="BA16" s="54"/>
      <c r="BB16" s="55"/>
      <c r="BC16" s="209" t="str">
        <f t="shared" ref="BC16:BC22" si="14">+BC4</f>
        <v>Jour Trav.</v>
      </c>
      <c r="BD16" s="210"/>
      <c r="BE16" s="184">
        <v>0.33333333333333331</v>
      </c>
      <c r="BF16" s="185"/>
      <c r="BG16" s="180">
        <v>0.39583333333333331</v>
      </c>
      <c r="BH16" s="181"/>
      <c r="BI16" s="184"/>
      <c r="BJ16" s="185"/>
      <c r="BK16" s="180"/>
      <c r="BL16" s="181"/>
      <c r="BM16" s="169">
        <f>+IF(OR(AND(BE16&lt;&gt;"",BG16&lt;&gt;""),AND(BI16&lt;&gt;"",BK16&lt;&gt;"")),((BG16-BE16)+(BK16-BI16))*24,0)</f>
        <v>1.5</v>
      </c>
      <c r="BN16" s="170"/>
      <c r="BQ16" s="46" t="s">
        <v>4</v>
      </c>
      <c r="BR16" s="54"/>
      <c r="BS16" s="55"/>
      <c r="BT16" s="209" t="str">
        <f t="shared" ref="BT16:BT22" si="15">+BT4</f>
        <v>Jour Trav.</v>
      </c>
      <c r="BU16" s="210"/>
      <c r="BV16" s="184">
        <v>0.33333333333333331</v>
      </c>
      <c r="BW16" s="185"/>
      <c r="BX16" s="180">
        <v>0.39583333333333331</v>
      </c>
      <c r="BY16" s="181"/>
      <c r="BZ16" s="184"/>
      <c r="CA16" s="185"/>
      <c r="CB16" s="180"/>
      <c r="CC16" s="181"/>
      <c r="CD16" s="169">
        <f>+IF(OR(AND(BV16&lt;&gt;"",BX16&lt;&gt;""),AND(BZ16&lt;&gt;"",CB16&lt;&gt;"")),((BX16-BV16)+(CB16-BZ16))*24,0)</f>
        <v>1.5</v>
      </c>
      <c r="CE16" s="170"/>
      <c r="CH16" s="46" t="s">
        <v>4</v>
      </c>
      <c r="CI16" s="54"/>
      <c r="CJ16" s="55"/>
      <c r="CK16" s="209" t="str">
        <f t="shared" ref="CK16:CK22" si="16">+CK4</f>
        <v>Jour Trav.</v>
      </c>
      <c r="CL16" s="210"/>
      <c r="CM16" s="184">
        <v>0.33333333333333331</v>
      </c>
      <c r="CN16" s="185"/>
      <c r="CO16" s="180">
        <v>0.39583333333333331</v>
      </c>
      <c r="CP16" s="181"/>
      <c r="CQ16" s="184"/>
      <c r="CR16" s="185"/>
      <c r="CS16" s="180"/>
      <c r="CT16" s="181"/>
      <c r="CU16" s="169">
        <f>+IF(OR(AND(CM16&lt;&gt;"",CO16&lt;&gt;""),AND(CQ16&lt;&gt;"",CS16&lt;&gt;"")),((CO16-CM16)+(CS16-CQ16))*24,0)</f>
        <v>1.5</v>
      </c>
      <c r="CV16" s="170"/>
    </row>
    <row r="17" spans="1:100" x14ac:dyDescent="0.25">
      <c r="A17" s="47" t="s">
        <v>5</v>
      </c>
      <c r="B17" s="56"/>
      <c r="C17" s="57"/>
      <c r="D17" s="191" t="str">
        <f t="shared" si="11"/>
        <v>Jour Trav.</v>
      </c>
      <c r="E17" s="192"/>
      <c r="F17" s="119"/>
      <c r="G17" s="120"/>
      <c r="H17" s="121"/>
      <c r="I17" s="122"/>
      <c r="J17" s="119"/>
      <c r="K17" s="120"/>
      <c r="L17" s="121"/>
      <c r="M17" s="122"/>
      <c r="N17" s="161">
        <f t="shared" ref="N17:N18" si="17">+IF(OR(AND(F17&lt;&gt;"",H17&lt;&gt;""),AND(J17&lt;&gt;"",L17&lt;&gt;"")),((H17-F17)+(L17-J17))*24,0)</f>
        <v>0</v>
      </c>
      <c r="O17" s="162"/>
      <c r="R17" s="47" t="s">
        <v>5</v>
      </c>
      <c r="S17" s="56"/>
      <c r="T17" s="57"/>
      <c r="U17" s="191" t="str">
        <f t="shared" si="12"/>
        <v>Jour Trav.</v>
      </c>
      <c r="V17" s="192"/>
      <c r="W17" s="119">
        <v>0.33333333333333331</v>
      </c>
      <c r="X17" s="120"/>
      <c r="Y17" s="121">
        <v>0.39583333333333331</v>
      </c>
      <c r="Z17" s="122"/>
      <c r="AA17" s="119"/>
      <c r="AB17" s="120"/>
      <c r="AC17" s="121"/>
      <c r="AD17" s="122"/>
      <c r="AE17" s="161">
        <f t="shared" ref="AE17:AE18" si="18">+IF(OR(AND(W17&lt;&gt;"",Y17&lt;&gt;""),AND(AA17&lt;&gt;"",AC17&lt;&gt;"")),((Y17-W17)+(AC17-AA17))*24,0)</f>
        <v>1.5</v>
      </c>
      <c r="AF17" s="162"/>
      <c r="AI17" s="47" t="s">
        <v>5</v>
      </c>
      <c r="AJ17" s="56"/>
      <c r="AK17" s="57"/>
      <c r="AL17" s="191" t="str">
        <f t="shared" si="13"/>
        <v>Jour Trav.</v>
      </c>
      <c r="AM17" s="192"/>
      <c r="AN17" s="119"/>
      <c r="AO17" s="120"/>
      <c r="AP17" s="121"/>
      <c r="AQ17" s="122"/>
      <c r="AR17" s="119"/>
      <c r="AS17" s="120"/>
      <c r="AT17" s="121"/>
      <c r="AU17" s="122"/>
      <c r="AV17" s="161">
        <f t="shared" ref="AV17:AV18" si="19">+IF(OR(AND(AN17&lt;&gt;"",AP17&lt;&gt;""),AND(AR17&lt;&gt;"",AT17&lt;&gt;"")),((AP17-AN17)+(AT17-AR17))*24,0)</f>
        <v>0</v>
      </c>
      <c r="AW17" s="162"/>
      <c r="AZ17" s="47" t="s">
        <v>5</v>
      </c>
      <c r="BA17" s="56"/>
      <c r="BB17" s="57"/>
      <c r="BC17" s="191" t="str">
        <f t="shared" si="14"/>
        <v>Jour Trav.</v>
      </c>
      <c r="BD17" s="192"/>
      <c r="BE17" s="119"/>
      <c r="BF17" s="120"/>
      <c r="BG17" s="121"/>
      <c r="BH17" s="122"/>
      <c r="BI17" s="119"/>
      <c r="BJ17" s="120"/>
      <c r="BK17" s="121"/>
      <c r="BL17" s="122"/>
      <c r="BM17" s="161">
        <f t="shared" ref="BM17:BM18" si="20">+IF(OR(AND(BE17&lt;&gt;"",BG17&lt;&gt;""),AND(BI17&lt;&gt;"",BK17&lt;&gt;"")),((BG17-BE17)+(BK17-BI17))*24,0)</f>
        <v>0</v>
      </c>
      <c r="BN17" s="162"/>
      <c r="BQ17" s="47" t="s">
        <v>5</v>
      </c>
      <c r="BR17" s="56"/>
      <c r="BS17" s="57"/>
      <c r="BT17" s="191" t="str">
        <f t="shared" si="15"/>
        <v>CP</v>
      </c>
      <c r="BU17" s="192"/>
      <c r="BV17" s="119"/>
      <c r="BW17" s="120"/>
      <c r="BX17" s="121"/>
      <c r="BY17" s="122"/>
      <c r="BZ17" s="119"/>
      <c r="CA17" s="120"/>
      <c r="CB17" s="121"/>
      <c r="CC17" s="122"/>
      <c r="CD17" s="161">
        <f t="shared" ref="CD17:CD18" si="21">+IF(OR(AND(BV17&lt;&gt;"",BX17&lt;&gt;""),AND(BZ17&lt;&gt;"",CB17&lt;&gt;"")),((BX17-BV17)+(CB17-BZ17))*24,0)</f>
        <v>0</v>
      </c>
      <c r="CE17" s="162"/>
      <c r="CH17" s="47" t="s">
        <v>5</v>
      </c>
      <c r="CI17" s="56"/>
      <c r="CJ17" s="57"/>
      <c r="CK17" s="191" t="str">
        <f t="shared" si="16"/>
        <v>CP</v>
      </c>
      <c r="CL17" s="192"/>
      <c r="CM17" s="119"/>
      <c r="CN17" s="120"/>
      <c r="CO17" s="121"/>
      <c r="CP17" s="122"/>
      <c r="CQ17" s="119"/>
      <c r="CR17" s="120"/>
      <c r="CS17" s="121"/>
      <c r="CT17" s="122"/>
      <c r="CU17" s="161">
        <f t="shared" ref="CU17:CU18" si="22">+IF(OR(AND(CM17&lt;&gt;"",CO17&lt;&gt;""),AND(CQ17&lt;&gt;"",CS17&lt;&gt;"")),((CO17-CM17)+(CS17-CQ17))*24,0)</f>
        <v>0</v>
      </c>
      <c r="CV17" s="162"/>
    </row>
    <row r="18" spans="1:100" x14ac:dyDescent="0.25">
      <c r="A18" s="47" t="s">
        <v>6</v>
      </c>
      <c r="B18" s="56"/>
      <c r="C18" s="57"/>
      <c r="D18" s="191" t="str">
        <f t="shared" si="11"/>
        <v>Jour Trav.</v>
      </c>
      <c r="E18" s="192"/>
      <c r="F18" s="119"/>
      <c r="G18" s="120"/>
      <c r="H18" s="121"/>
      <c r="I18" s="122"/>
      <c r="J18" s="119"/>
      <c r="K18" s="120"/>
      <c r="L18" s="121"/>
      <c r="M18" s="122"/>
      <c r="N18" s="161">
        <f t="shared" si="17"/>
        <v>0</v>
      </c>
      <c r="O18" s="162"/>
      <c r="R18" s="47" t="s">
        <v>6</v>
      </c>
      <c r="S18" s="56"/>
      <c r="T18" s="57"/>
      <c r="U18" s="191" t="str">
        <f t="shared" si="12"/>
        <v>Jour Trav.</v>
      </c>
      <c r="V18" s="192"/>
      <c r="W18" s="119"/>
      <c r="X18" s="120"/>
      <c r="Y18" s="121"/>
      <c r="Z18" s="122"/>
      <c r="AA18" s="119"/>
      <c r="AB18" s="120"/>
      <c r="AC18" s="121"/>
      <c r="AD18" s="122"/>
      <c r="AE18" s="161">
        <f t="shared" si="18"/>
        <v>0</v>
      </c>
      <c r="AF18" s="162"/>
      <c r="AI18" s="47" t="s">
        <v>6</v>
      </c>
      <c r="AJ18" s="56"/>
      <c r="AK18" s="57"/>
      <c r="AL18" s="191" t="str">
        <f t="shared" si="13"/>
        <v>Jour Trav.</v>
      </c>
      <c r="AM18" s="192"/>
      <c r="AN18" s="119"/>
      <c r="AO18" s="120"/>
      <c r="AP18" s="121"/>
      <c r="AQ18" s="122"/>
      <c r="AR18" s="119"/>
      <c r="AS18" s="120"/>
      <c r="AT18" s="121"/>
      <c r="AU18" s="122"/>
      <c r="AV18" s="161">
        <f t="shared" si="19"/>
        <v>0</v>
      </c>
      <c r="AW18" s="162"/>
      <c r="AZ18" s="47" t="s">
        <v>6</v>
      </c>
      <c r="BA18" s="56"/>
      <c r="BB18" s="57"/>
      <c r="BC18" s="191" t="str">
        <f t="shared" si="14"/>
        <v>Jour Trav.</v>
      </c>
      <c r="BD18" s="192"/>
      <c r="BE18" s="119"/>
      <c r="BF18" s="120"/>
      <c r="BG18" s="121"/>
      <c r="BH18" s="122"/>
      <c r="BI18" s="119"/>
      <c r="BJ18" s="120"/>
      <c r="BK18" s="121"/>
      <c r="BL18" s="122"/>
      <c r="BM18" s="161">
        <f t="shared" si="20"/>
        <v>0</v>
      </c>
      <c r="BN18" s="162"/>
      <c r="BQ18" s="47" t="s">
        <v>6</v>
      </c>
      <c r="BR18" s="56"/>
      <c r="BS18" s="57"/>
      <c r="BT18" s="191" t="str">
        <f t="shared" si="15"/>
        <v>Jour Trav.</v>
      </c>
      <c r="BU18" s="192"/>
      <c r="BV18" s="119"/>
      <c r="BW18" s="120"/>
      <c r="BX18" s="121"/>
      <c r="BY18" s="122"/>
      <c r="BZ18" s="119"/>
      <c r="CA18" s="120"/>
      <c r="CB18" s="121"/>
      <c r="CC18" s="122"/>
      <c r="CD18" s="161">
        <f t="shared" si="21"/>
        <v>0</v>
      </c>
      <c r="CE18" s="162"/>
      <c r="CH18" s="47" t="s">
        <v>6</v>
      </c>
      <c r="CI18" s="56"/>
      <c r="CJ18" s="57"/>
      <c r="CK18" s="191" t="str">
        <f t="shared" si="16"/>
        <v>Jour Trav.</v>
      </c>
      <c r="CL18" s="192"/>
      <c r="CM18" s="119"/>
      <c r="CN18" s="120"/>
      <c r="CO18" s="121"/>
      <c r="CP18" s="122"/>
      <c r="CQ18" s="119"/>
      <c r="CR18" s="120"/>
      <c r="CS18" s="121"/>
      <c r="CT18" s="122"/>
      <c r="CU18" s="161">
        <f t="shared" si="22"/>
        <v>0</v>
      </c>
      <c r="CV18" s="162"/>
    </row>
    <row r="19" spans="1:100" x14ac:dyDescent="0.25">
      <c r="A19" s="47" t="s">
        <v>7</v>
      </c>
      <c r="B19" s="56"/>
      <c r="C19" s="57"/>
      <c r="D19" s="191" t="str">
        <f t="shared" si="11"/>
        <v>Jour Trav.</v>
      </c>
      <c r="E19" s="192"/>
      <c r="F19" s="119"/>
      <c r="G19" s="120"/>
      <c r="H19" s="121"/>
      <c r="I19" s="122"/>
      <c r="J19" s="119"/>
      <c r="K19" s="120"/>
      <c r="L19" s="121"/>
      <c r="M19" s="122"/>
      <c r="N19" s="161">
        <f>+IF(OR(AND(F19&lt;&gt;"",H19&lt;&gt;""),AND(J19&lt;&gt;"",L19&lt;&gt;"")),((H19-F19)+(L19-J19))*24,0)</f>
        <v>0</v>
      </c>
      <c r="O19" s="162"/>
      <c r="R19" s="47" t="s">
        <v>7</v>
      </c>
      <c r="S19" s="56"/>
      <c r="T19" s="57"/>
      <c r="U19" s="191" t="str">
        <f t="shared" si="12"/>
        <v>Jour Trav.</v>
      </c>
      <c r="V19" s="192"/>
      <c r="W19" s="119"/>
      <c r="X19" s="120"/>
      <c r="Y19" s="121"/>
      <c r="Z19" s="122"/>
      <c r="AA19" s="119"/>
      <c r="AB19" s="120"/>
      <c r="AC19" s="121"/>
      <c r="AD19" s="122"/>
      <c r="AE19" s="161">
        <f>+IF(OR(AND(W19&lt;&gt;"",Y19&lt;&gt;""),AND(AA19&lt;&gt;"",AC19&lt;&gt;"")),((Y19-W19)+(AC19-AA19))*24,0)</f>
        <v>0</v>
      </c>
      <c r="AF19" s="162"/>
      <c r="AI19" s="47" t="s">
        <v>7</v>
      </c>
      <c r="AJ19" s="56"/>
      <c r="AK19" s="57"/>
      <c r="AL19" s="191" t="str">
        <f t="shared" si="13"/>
        <v>Jour Trav.</v>
      </c>
      <c r="AM19" s="192"/>
      <c r="AN19" s="119"/>
      <c r="AO19" s="120"/>
      <c r="AP19" s="121"/>
      <c r="AQ19" s="122"/>
      <c r="AR19" s="119"/>
      <c r="AS19" s="120"/>
      <c r="AT19" s="121"/>
      <c r="AU19" s="122"/>
      <c r="AV19" s="161">
        <f>+IF(OR(AND(AN19&lt;&gt;"",AP19&lt;&gt;""),AND(AR19&lt;&gt;"",AT19&lt;&gt;"")),((AP19-AN19)+(AT19-AR19))*24,0)</f>
        <v>0</v>
      </c>
      <c r="AW19" s="162"/>
      <c r="AZ19" s="47" t="s">
        <v>7</v>
      </c>
      <c r="BA19" s="56"/>
      <c r="BB19" s="57"/>
      <c r="BC19" s="191" t="str">
        <f t="shared" si="14"/>
        <v>Jour Trav.</v>
      </c>
      <c r="BD19" s="192"/>
      <c r="BE19" s="119">
        <v>0.33333333333333331</v>
      </c>
      <c r="BF19" s="120"/>
      <c r="BG19" s="121">
        <v>0.39583333333333331</v>
      </c>
      <c r="BH19" s="122"/>
      <c r="BI19" s="119">
        <v>0.75</v>
      </c>
      <c r="BJ19" s="120"/>
      <c r="BK19" s="121">
        <v>0.8125</v>
      </c>
      <c r="BL19" s="122"/>
      <c r="BM19" s="161">
        <f>+IF(OR(AND(BE19&lt;&gt;"",BG19&lt;&gt;""),AND(BI19&lt;&gt;"",BK19&lt;&gt;"")),((BG19-BE19)+(BK19-BI19))*24,0)</f>
        <v>3</v>
      </c>
      <c r="BN19" s="162"/>
      <c r="BQ19" s="47" t="s">
        <v>7</v>
      </c>
      <c r="BR19" s="56"/>
      <c r="BS19" s="57"/>
      <c r="BT19" s="191" t="str">
        <f t="shared" si="15"/>
        <v>Jour Trav.</v>
      </c>
      <c r="BU19" s="192"/>
      <c r="BV19" s="119">
        <v>0.33333333333333331</v>
      </c>
      <c r="BW19" s="120"/>
      <c r="BX19" s="121">
        <v>0.39583333333333331</v>
      </c>
      <c r="BY19" s="122"/>
      <c r="BZ19" s="119">
        <v>0.75</v>
      </c>
      <c r="CA19" s="120"/>
      <c r="CB19" s="121">
        <v>0.8125</v>
      </c>
      <c r="CC19" s="122"/>
      <c r="CD19" s="161">
        <f>+IF(OR(AND(BV19&lt;&gt;"",BX19&lt;&gt;""),AND(BZ19&lt;&gt;"",CB19&lt;&gt;"")),((BX19-BV19)+(CB19-BZ19))*24,0)</f>
        <v>3</v>
      </c>
      <c r="CE19" s="162"/>
      <c r="CH19" s="47" t="s">
        <v>7</v>
      </c>
      <c r="CI19" s="56"/>
      <c r="CJ19" s="57"/>
      <c r="CK19" s="191" t="str">
        <f t="shared" si="16"/>
        <v>Jour Trav.</v>
      </c>
      <c r="CL19" s="192"/>
      <c r="CM19" s="119">
        <v>0.33333333333333331</v>
      </c>
      <c r="CN19" s="120"/>
      <c r="CO19" s="121">
        <v>0.39583333333333331</v>
      </c>
      <c r="CP19" s="122"/>
      <c r="CQ19" s="119">
        <v>0.75</v>
      </c>
      <c r="CR19" s="120"/>
      <c r="CS19" s="121">
        <v>0.8125</v>
      </c>
      <c r="CT19" s="122"/>
      <c r="CU19" s="161">
        <f>+IF(OR(AND(CM19&lt;&gt;"",CO19&lt;&gt;""),AND(CQ19&lt;&gt;"",CS19&lt;&gt;"")),((CO19-CM19)+(CS19-CQ19))*24,0)</f>
        <v>3</v>
      </c>
      <c r="CV19" s="162"/>
    </row>
    <row r="20" spans="1:100" x14ac:dyDescent="0.25">
      <c r="A20" s="47" t="s">
        <v>8</v>
      </c>
      <c r="B20" s="56"/>
      <c r="C20" s="57"/>
      <c r="D20" s="191" t="str">
        <f t="shared" si="11"/>
        <v>Jour Trav.</v>
      </c>
      <c r="E20" s="192"/>
      <c r="F20" s="119"/>
      <c r="G20" s="120"/>
      <c r="H20" s="121"/>
      <c r="I20" s="122"/>
      <c r="J20" s="119"/>
      <c r="K20" s="120"/>
      <c r="L20" s="121"/>
      <c r="M20" s="122"/>
      <c r="N20" s="161">
        <f t="shared" ref="N20:N22" si="23">+IF(OR(AND(F20&lt;&gt;"",H20&lt;&gt;""),AND(J20&lt;&gt;"",L20&lt;&gt;"")),((H20-F20)+(L20-J20))*24,0)</f>
        <v>0</v>
      </c>
      <c r="O20" s="162"/>
      <c r="R20" s="47" t="s">
        <v>8</v>
      </c>
      <c r="S20" s="56"/>
      <c r="T20" s="57"/>
      <c r="U20" s="191" t="str">
        <f t="shared" si="12"/>
        <v>Jour Trav.</v>
      </c>
      <c r="V20" s="192"/>
      <c r="W20" s="119"/>
      <c r="X20" s="120"/>
      <c r="Y20" s="121"/>
      <c r="Z20" s="122"/>
      <c r="AA20" s="119">
        <v>0.625</v>
      </c>
      <c r="AB20" s="120"/>
      <c r="AC20" s="121">
        <v>0.72916666666666663</v>
      </c>
      <c r="AD20" s="122"/>
      <c r="AE20" s="161">
        <f t="shared" ref="AE20:AE22" si="24">+IF(OR(AND(W20&lt;&gt;"",Y20&lt;&gt;""),AND(AA20&lt;&gt;"",AC20&lt;&gt;"")),((Y20-W20)+(AC20-AA20))*24,0)</f>
        <v>2.4999999999999991</v>
      </c>
      <c r="AF20" s="162"/>
      <c r="AI20" s="47" t="s">
        <v>8</v>
      </c>
      <c r="AJ20" s="56"/>
      <c r="AK20" s="57"/>
      <c r="AL20" s="191" t="str">
        <f t="shared" si="13"/>
        <v>Jour Trav.</v>
      </c>
      <c r="AM20" s="192"/>
      <c r="AN20" s="119"/>
      <c r="AO20" s="120"/>
      <c r="AP20" s="121"/>
      <c r="AQ20" s="122"/>
      <c r="AR20" s="119"/>
      <c r="AS20" s="120"/>
      <c r="AT20" s="121"/>
      <c r="AU20" s="122"/>
      <c r="AV20" s="161">
        <f t="shared" ref="AV20:AV22" si="25">+IF(OR(AND(AN20&lt;&gt;"",AP20&lt;&gt;""),AND(AR20&lt;&gt;"",AT20&lt;&gt;"")),((AP20-AN20)+(AT20-AR20))*24,0)</f>
        <v>0</v>
      </c>
      <c r="AW20" s="162"/>
      <c r="AZ20" s="47" t="s">
        <v>8</v>
      </c>
      <c r="BA20" s="56"/>
      <c r="BB20" s="57"/>
      <c r="BC20" s="191" t="str">
        <f t="shared" si="14"/>
        <v>Jour Trav.</v>
      </c>
      <c r="BD20" s="192"/>
      <c r="BE20" s="119"/>
      <c r="BF20" s="120"/>
      <c r="BG20" s="121"/>
      <c r="BH20" s="122"/>
      <c r="BI20" s="119">
        <v>0.64583333333333337</v>
      </c>
      <c r="BJ20" s="120"/>
      <c r="BK20" s="121">
        <v>0.70833333333333337</v>
      </c>
      <c r="BL20" s="122"/>
      <c r="BM20" s="161">
        <f t="shared" ref="BM20:BM22" si="26">+IF(OR(AND(BE20&lt;&gt;"",BG20&lt;&gt;""),AND(BI20&lt;&gt;"",BK20&lt;&gt;"")),((BG20-BE20)+(BK20-BI20))*24,0)</f>
        <v>1.5</v>
      </c>
      <c r="BN20" s="162"/>
      <c r="BQ20" s="47" t="s">
        <v>8</v>
      </c>
      <c r="BR20" s="56"/>
      <c r="BS20" s="57"/>
      <c r="BT20" s="191" t="str">
        <f t="shared" si="15"/>
        <v>Jour Trav.</v>
      </c>
      <c r="BU20" s="192"/>
      <c r="BV20" s="119"/>
      <c r="BW20" s="120"/>
      <c r="BX20" s="121"/>
      <c r="BY20" s="122"/>
      <c r="BZ20" s="119">
        <v>0.64583333333333337</v>
      </c>
      <c r="CA20" s="120"/>
      <c r="CB20" s="121">
        <v>0.70833333333333337</v>
      </c>
      <c r="CC20" s="122"/>
      <c r="CD20" s="161">
        <f t="shared" ref="CD20:CD22" si="27">+IF(OR(AND(BV20&lt;&gt;"",BX20&lt;&gt;""),AND(BZ20&lt;&gt;"",CB20&lt;&gt;"")),((BX20-BV20)+(CB20-BZ20))*24,0)</f>
        <v>1.5</v>
      </c>
      <c r="CE20" s="162"/>
      <c r="CH20" s="47" t="s">
        <v>8</v>
      </c>
      <c r="CI20" s="56"/>
      <c r="CJ20" s="57"/>
      <c r="CK20" s="191" t="str">
        <f t="shared" si="16"/>
        <v>Jour Trav.</v>
      </c>
      <c r="CL20" s="192"/>
      <c r="CM20" s="119"/>
      <c r="CN20" s="120"/>
      <c r="CO20" s="121"/>
      <c r="CP20" s="122"/>
      <c r="CQ20" s="119">
        <v>0.64583333333333337</v>
      </c>
      <c r="CR20" s="120"/>
      <c r="CS20" s="121">
        <v>0.70833333333333337</v>
      </c>
      <c r="CT20" s="122"/>
      <c r="CU20" s="161">
        <f t="shared" ref="CU20:CU22" si="28">+IF(OR(AND(CM20&lt;&gt;"",CO20&lt;&gt;""),AND(CQ20&lt;&gt;"",CS20&lt;&gt;"")),((CO20-CM20)+(CS20-CQ20))*24,0)</f>
        <v>1.5</v>
      </c>
      <c r="CV20" s="162"/>
    </row>
    <row r="21" spans="1:100" x14ac:dyDescent="0.25">
      <c r="A21" s="47" t="s">
        <v>9</v>
      </c>
      <c r="B21" s="56"/>
      <c r="C21" s="57"/>
      <c r="D21" s="191" t="str">
        <f t="shared" si="11"/>
        <v>-</v>
      </c>
      <c r="E21" s="192"/>
      <c r="F21" s="119"/>
      <c r="G21" s="120"/>
      <c r="H21" s="121"/>
      <c r="I21" s="122"/>
      <c r="J21" s="119"/>
      <c r="K21" s="120"/>
      <c r="L21" s="121"/>
      <c r="M21" s="122"/>
      <c r="N21" s="161">
        <f t="shared" si="23"/>
        <v>0</v>
      </c>
      <c r="O21" s="162"/>
      <c r="R21" s="47" t="s">
        <v>9</v>
      </c>
      <c r="S21" s="56"/>
      <c r="T21" s="57"/>
      <c r="U21" s="191" t="str">
        <f t="shared" si="12"/>
        <v>-</v>
      </c>
      <c r="V21" s="192"/>
      <c r="W21" s="119"/>
      <c r="X21" s="120"/>
      <c r="Y21" s="121"/>
      <c r="Z21" s="122"/>
      <c r="AA21" s="119"/>
      <c r="AB21" s="120"/>
      <c r="AC21" s="121"/>
      <c r="AD21" s="122"/>
      <c r="AE21" s="161">
        <f t="shared" si="24"/>
        <v>0</v>
      </c>
      <c r="AF21" s="162"/>
      <c r="AI21" s="47" t="s">
        <v>9</v>
      </c>
      <c r="AJ21" s="56"/>
      <c r="AK21" s="57"/>
      <c r="AL21" s="191" t="str">
        <f t="shared" si="13"/>
        <v>-</v>
      </c>
      <c r="AM21" s="192"/>
      <c r="AN21" s="119"/>
      <c r="AO21" s="120"/>
      <c r="AP21" s="121"/>
      <c r="AQ21" s="122"/>
      <c r="AR21" s="119"/>
      <c r="AS21" s="120"/>
      <c r="AT21" s="121"/>
      <c r="AU21" s="122"/>
      <c r="AV21" s="161">
        <f t="shared" si="25"/>
        <v>0</v>
      </c>
      <c r="AW21" s="162"/>
      <c r="AZ21" s="47" t="s">
        <v>9</v>
      </c>
      <c r="BA21" s="56"/>
      <c r="BB21" s="57"/>
      <c r="BC21" s="191" t="str">
        <f t="shared" si="14"/>
        <v>-</v>
      </c>
      <c r="BD21" s="192"/>
      <c r="BE21" s="119"/>
      <c r="BF21" s="120"/>
      <c r="BG21" s="121"/>
      <c r="BH21" s="122"/>
      <c r="BI21" s="119"/>
      <c r="BJ21" s="120"/>
      <c r="BK21" s="121"/>
      <c r="BL21" s="122"/>
      <c r="BM21" s="161">
        <f t="shared" si="26"/>
        <v>0</v>
      </c>
      <c r="BN21" s="162"/>
      <c r="BQ21" s="47" t="s">
        <v>9</v>
      </c>
      <c r="BR21" s="56"/>
      <c r="BS21" s="57"/>
      <c r="BT21" s="191" t="str">
        <f t="shared" si="15"/>
        <v>-</v>
      </c>
      <c r="BU21" s="192"/>
      <c r="BV21" s="119"/>
      <c r="BW21" s="120"/>
      <c r="BX21" s="121"/>
      <c r="BY21" s="122"/>
      <c r="BZ21" s="119"/>
      <c r="CA21" s="120"/>
      <c r="CB21" s="121"/>
      <c r="CC21" s="122"/>
      <c r="CD21" s="161">
        <f t="shared" si="27"/>
        <v>0</v>
      </c>
      <c r="CE21" s="162"/>
      <c r="CH21" s="47" t="s">
        <v>9</v>
      </c>
      <c r="CI21" s="56"/>
      <c r="CJ21" s="57"/>
      <c r="CK21" s="191" t="str">
        <f t="shared" si="16"/>
        <v>-</v>
      </c>
      <c r="CL21" s="192"/>
      <c r="CM21" s="119"/>
      <c r="CN21" s="120"/>
      <c r="CO21" s="121"/>
      <c r="CP21" s="122"/>
      <c r="CQ21" s="119"/>
      <c r="CR21" s="120"/>
      <c r="CS21" s="121"/>
      <c r="CT21" s="122"/>
      <c r="CU21" s="161">
        <f t="shared" si="28"/>
        <v>0</v>
      </c>
      <c r="CV21" s="162"/>
    </row>
    <row r="22" spans="1:100" x14ac:dyDescent="0.25">
      <c r="A22" s="48" t="s">
        <v>10</v>
      </c>
      <c r="B22" s="58"/>
      <c r="C22" s="59"/>
      <c r="D22" s="286" t="str">
        <f t="shared" si="11"/>
        <v>-</v>
      </c>
      <c r="E22" s="287"/>
      <c r="F22" s="123"/>
      <c r="G22" s="124"/>
      <c r="H22" s="125"/>
      <c r="I22" s="126"/>
      <c r="J22" s="123"/>
      <c r="K22" s="124"/>
      <c r="L22" s="125"/>
      <c r="M22" s="126"/>
      <c r="N22" s="163">
        <f t="shared" si="23"/>
        <v>0</v>
      </c>
      <c r="O22" s="164"/>
      <c r="R22" s="48" t="s">
        <v>10</v>
      </c>
      <c r="S22" s="58"/>
      <c r="T22" s="59"/>
      <c r="U22" s="286" t="str">
        <f t="shared" si="12"/>
        <v>-</v>
      </c>
      <c r="V22" s="287"/>
      <c r="W22" s="123"/>
      <c r="X22" s="124"/>
      <c r="Y22" s="125"/>
      <c r="Z22" s="126"/>
      <c r="AA22" s="123"/>
      <c r="AB22" s="124"/>
      <c r="AC22" s="125"/>
      <c r="AD22" s="126"/>
      <c r="AE22" s="163">
        <f t="shared" si="24"/>
        <v>0</v>
      </c>
      <c r="AF22" s="164"/>
      <c r="AI22" s="48" t="s">
        <v>10</v>
      </c>
      <c r="AJ22" s="58"/>
      <c r="AK22" s="59"/>
      <c r="AL22" s="286" t="str">
        <f t="shared" si="13"/>
        <v>-</v>
      </c>
      <c r="AM22" s="287"/>
      <c r="AN22" s="123"/>
      <c r="AO22" s="124"/>
      <c r="AP22" s="125"/>
      <c r="AQ22" s="126"/>
      <c r="AR22" s="123"/>
      <c r="AS22" s="124"/>
      <c r="AT22" s="125"/>
      <c r="AU22" s="126"/>
      <c r="AV22" s="163">
        <f t="shared" si="25"/>
        <v>0</v>
      </c>
      <c r="AW22" s="164"/>
      <c r="AZ22" s="48" t="s">
        <v>10</v>
      </c>
      <c r="BA22" s="58"/>
      <c r="BB22" s="59"/>
      <c r="BC22" s="286" t="str">
        <f t="shared" si="14"/>
        <v>-</v>
      </c>
      <c r="BD22" s="287"/>
      <c r="BE22" s="123"/>
      <c r="BF22" s="124"/>
      <c r="BG22" s="125"/>
      <c r="BH22" s="126"/>
      <c r="BI22" s="123"/>
      <c r="BJ22" s="124"/>
      <c r="BK22" s="125"/>
      <c r="BL22" s="126"/>
      <c r="BM22" s="163">
        <f t="shared" si="26"/>
        <v>0</v>
      </c>
      <c r="BN22" s="164"/>
      <c r="BQ22" s="48" t="s">
        <v>10</v>
      </c>
      <c r="BR22" s="58"/>
      <c r="BS22" s="59"/>
      <c r="BT22" s="286" t="str">
        <f t="shared" si="15"/>
        <v>-</v>
      </c>
      <c r="BU22" s="287"/>
      <c r="BV22" s="123"/>
      <c r="BW22" s="124"/>
      <c r="BX22" s="125"/>
      <c r="BY22" s="126"/>
      <c r="BZ22" s="123"/>
      <c r="CA22" s="124"/>
      <c r="CB22" s="125"/>
      <c r="CC22" s="126"/>
      <c r="CD22" s="163">
        <f t="shared" si="27"/>
        <v>0</v>
      </c>
      <c r="CE22" s="164"/>
      <c r="CH22" s="48" t="s">
        <v>10</v>
      </c>
      <c r="CI22" s="58"/>
      <c r="CJ22" s="59"/>
      <c r="CK22" s="286" t="str">
        <f t="shared" si="16"/>
        <v>-</v>
      </c>
      <c r="CL22" s="287"/>
      <c r="CM22" s="123"/>
      <c r="CN22" s="124"/>
      <c r="CO22" s="125"/>
      <c r="CP22" s="126"/>
      <c r="CQ22" s="123"/>
      <c r="CR22" s="124"/>
      <c r="CS22" s="125"/>
      <c r="CT22" s="126"/>
      <c r="CU22" s="163">
        <f t="shared" si="28"/>
        <v>0</v>
      </c>
      <c r="CV22" s="164"/>
    </row>
    <row r="23" spans="1:100" x14ac:dyDescent="0.25">
      <c r="N23" s="166">
        <f>SUM(N16:O22)</f>
        <v>0</v>
      </c>
      <c r="O23" s="167"/>
      <c r="AE23" s="166">
        <f>SUM(AE16:AF22)</f>
        <v>4.9999999999999982</v>
      </c>
      <c r="AF23" s="167"/>
      <c r="AV23" s="166">
        <f>SUM(AV16:AW22)</f>
        <v>1.9999999999999996</v>
      </c>
      <c r="AW23" s="167"/>
      <c r="BM23" s="166">
        <f>SUM(BM16:BN22)</f>
        <v>6</v>
      </c>
      <c r="BN23" s="167"/>
      <c r="CD23" s="166">
        <f>SUM(CD16:CE22)</f>
        <v>6</v>
      </c>
      <c r="CE23" s="167"/>
      <c r="CU23" s="166">
        <f>SUM(CU16:CV22)</f>
        <v>6</v>
      </c>
      <c r="CV23" s="167"/>
    </row>
    <row r="26" spans="1:100" x14ac:dyDescent="0.25">
      <c r="A26" s="102" t="s">
        <v>131</v>
      </c>
      <c r="B26" s="102"/>
      <c r="C26" s="102"/>
      <c r="D26" s="102"/>
      <c r="E26" s="102"/>
      <c r="F26" s="102"/>
      <c r="G26" s="102"/>
      <c r="H26" s="102"/>
      <c r="I26" s="102"/>
      <c r="R26" s="102" t="s">
        <v>131</v>
      </c>
      <c r="S26" s="102"/>
      <c r="T26" s="102"/>
      <c r="U26" s="102"/>
      <c r="V26" s="102"/>
      <c r="W26" s="102"/>
      <c r="X26" s="102"/>
      <c r="Y26" s="102"/>
      <c r="Z26" s="102"/>
      <c r="AI26" s="102" t="s">
        <v>131</v>
      </c>
      <c r="AJ26" s="102"/>
      <c r="AK26" s="102"/>
      <c r="AL26" s="102"/>
      <c r="AM26" s="102"/>
      <c r="AN26" s="102"/>
      <c r="AO26" s="102"/>
      <c r="AP26" s="102"/>
      <c r="AQ26" s="102"/>
      <c r="AZ26" s="102" t="s">
        <v>131</v>
      </c>
      <c r="BA26" s="102"/>
      <c r="BB26" s="102"/>
      <c r="BC26" s="102"/>
      <c r="BD26" s="102"/>
      <c r="BE26" s="102"/>
      <c r="BF26" s="102"/>
      <c r="BG26" s="102"/>
      <c r="BH26" s="102"/>
      <c r="BQ26" s="102" t="s">
        <v>131</v>
      </c>
      <c r="BR26" s="102"/>
      <c r="BS26" s="102"/>
      <c r="BT26" s="102"/>
      <c r="BU26" s="102"/>
      <c r="BV26" s="102"/>
      <c r="BW26" s="102"/>
      <c r="BX26" s="102"/>
      <c r="BY26" s="102"/>
      <c r="CH26" s="102" t="s">
        <v>131</v>
      </c>
      <c r="CI26" s="102"/>
      <c r="CJ26" s="102"/>
      <c r="CK26" s="102"/>
      <c r="CL26" s="102"/>
      <c r="CM26" s="102"/>
      <c r="CN26" s="102"/>
      <c r="CO26" s="102"/>
      <c r="CP26" s="102"/>
    </row>
    <row r="27" spans="1:100" ht="13.8" thickBot="1" x14ac:dyDescent="0.3">
      <c r="A27" s="206" t="s">
        <v>98</v>
      </c>
      <c r="B27" s="132"/>
      <c r="C27" s="132"/>
      <c r="D27" s="132"/>
      <c r="E27" s="132"/>
      <c r="F27" s="132"/>
      <c r="G27" s="132"/>
      <c r="H27" s="296" t="s">
        <v>59</v>
      </c>
      <c r="I27" s="297"/>
      <c r="R27" s="206" t="s">
        <v>98</v>
      </c>
      <c r="S27" s="132"/>
      <c r="T27" s="132"/>
      <c r="U27" s="132"/>
      <c r="V27" s="132"/>
      <c r="W27" s="132"/>
      <c r="X27" s="132"/>
      <c r="Y27" s="296" t="s">
        <v>59</v>
      </c>
      <c r="Z27" s="297"/>
      <c r="AI27" s="206" t="s">
        <v>98</v>
      </c>
      <c r="AJ27" s="132"/>
      <c r="AK27" s="132"/>
      <c r="AL27" s="132"/>
      <c r="AM27" s="132"/>
      <c r="AN27" s="132"/>
      <c r="AO27" s="132"/>
      <c r="AP27" s="296" t="s">
        <v>59</v>
      </c>
      <c r="AQ27" s="297"/>
      <c r="AZ27" s="206" t="s">
        <v>98</v>
      </c>
      <c r="BA27" s="132"/>
      <c r="BB27" s="132"/>
      <c r="BC27" s="132"/>
      <c r="BD27" s="132"/>
      <c r="BE27" s="132"/>
      <c r="BF27" s="132"/>
      <c r="BG27" s="296" t="s">
        <v>59</v>
      </c>
      <c r="BH27" s="297"/>
      <c r="BQ27" s="206" t="s">
        <v>98</v>
      </c>
      <c r="BR27" s="132"/>
      <c r="BS27" s="132"/>
      <c r="BT27" s="132"/>
      <c r="BU27" s="132"/>
      <c r="BV27" s="132"/>
      <c r="BW27" s="132"/>
      <c r="BX27" s="296" t="s">
        <v>59</v>
      </c>
      <c r="BY27" s="297"/>
      <c r="CH27" s="206" t="s">
        <v>98</v>
      </c>
      <c r="CI27" s="132"/>
      <c r="CJ27" s="132"/>
      <c r="CK27" s="132"/>
      <c r="CL27" s="132"/>
      <c r="CM27" s="132"/>
      <c r="CN27" s="132"/>
      <c r="CO27" s="296" t="s">
        <v>59</v>
      </c>
      <c r="CP27" s="297"/>
    </row>
    <row r="28" spans="1:100" ht="13.8" thickBot="1" x14ac:dyDescent="0.3">
      <c r="A28" s="207" t="s">
        <v>99</v>
      </c>
      <c r="B28" s="208"/>
      <c r="C28" s="208"/>
      <c r="D28" s="208"/>
      <c r="E28" s="208"/>
      <c r="F28" s="208"/>
      <c r="G28" s="208"/>
      <c r="H28" s="204">
        <v>0.75</v>
      </c>
      <c r="I28" s="205"/>
      <c r="R28" s="207" t="s">
        <v>99</v>
      </c>
      <c r="S28" s="208"/>
      <c r="T28" s="208"/>
      <c r="U28" s="208"/>
      <c r="V28" s="208"/>
      <c r="W28" s="208"/>
      <c r="X28" s="208"/>
      <c r="Y28" s="204">
        <v>2</v>
      </c>
      <c r="Z28" s="205"/>
      <c r="AI28" s="207" t="s">
        <v>99</v>
      </c>
      <c r="AJ28" s="208"/>
      <c r="AK28" s="208"/>
      <c r="AL28" s="208"/>
      <c r="AM28" s="208"/>
      <c r="AN28" s="208"/>
      <c r="AO28" s="208"/>
      <c r="AP28" s="204">
        <v>4.75</v>
      </c>
      <c r="AQ28" s="205"/>
      <c r="AZ28" s="207" t="s">
        <v>99</v>
      </c>
      <c r="BA28" s="208"/>
      <c r="BB28" s="208"/>
      <c r="BC28" s="208"/>
      <c r="BD28" s="208"/>
      <c r="BE28" s="208"/>
      <c r="BF28" s="208"/>
      <c r="BG28" s="204">
        <v>11</v>
      </c>
      <c r="BH28" s="205"/>
      <c r="BQ28" s="207" t="s">
        <v>99</v>
      </c>
      <c r="BR28" s="208"/>
      <c r="BS28" s="208"/>
      <c r="BT28" s="208"/>
      <c r="BU28" s="208"/>
      <c r="BV28" s="208"/>
      <c r="BW28" s="208"/>
      <c r="BX28" s="204">
        <v>8.3999999999999986</v>
      </c>
      <c r="BY28" s="205"/>
      <c r="CH28" s="207" t="s">
        <v>99</v>
      </c>
      <c r="CI28" s="208"/>
      <c r="CJ28" s="208"/>
      <c r="CK28" s="208"/>
      <c r="CL28" s="208"/>
      <c r="CM28" s="208"/>
      <c r="CN28" s="208"/>
      <c r="CO28" s="204">
        <v>17.899999999999999</v>
      </c>
      <c r="CP28" s="205"/>
    </row>
    <row r="29" spans="1:100" x14ac:dyDescent="0.25">
      <c r="A29" s="140" t="s">
        <v>111</v>
      </c>
      <c r="B29" s="141"/>
      <c r="C29" s="141"/>
      <c r="D29" s="141"/>
      <c r="E29" s="141"/>
      <c r="F29" s="141"/>
      <c r="G29" s="141"/>
      <c r="H29" s="148">
        <v>0</v>
      </c>
      <c r="I29" s="149"/>
      <c r="R29" s="140" t="s">
        <v>111</v>
      </c>
      <c r="S29" s="141"/>
      <c r="T29" s="141"/>
      <c r="U29" s="141"/>
      <c r="V29" s="141"/>
      <c r="W29" s="141"/>
      <c r="X29" s="141"/>
      <c r="Y29" s="148">
        <v>2</v>
      </c>
      <c r="Z29" s="149"/>
      <c r="AI29" s="140" t="s">
        <v>111</v>
      </c>
      <c r="AJ29" s="141"/>
      <c r="AK29" s="141"/>
      <c r="AL29" s="141"/>
      <c r="AM29" s="141"/>
      <c r="AN29" s="141"/>
      <c r="AO29" s="141"/>
      <c r="AP29" s="148">
        <v>1.9999999999999996</v>
      </c>
      <c r="AQ29" s="149"/>
      <c r="AZ29" s="140" t="s">
        <v>111</v>
      </c>
      <c r="BA29" s="141"/>
      <c r="BB29" s="141"/>
      <c r="BC29" s="141"/>
      <c r="BD29" s="141"/>
      <c r="BE29" s="141"/>
      <c r="BF29" s="141"/>
      <c r="BG29" s="148">
        <v>6</v>
      </c>
      <c r="BH29" s="149"/>
      <c r="BQ29" s="140" t="s">
        <v>111</v>
      </c>
      <c r="BR29" s="141"/>
      <c r="BS29" s="141"/>
      <c r="BT29" s="141"/>
      <c r="BU29" s="141"/>
      <c r="BV29" s="141"/>
      <c r="BW29" s="141"/>
      <c r="BX29" s="148">
        <v>8.3999999999999986</v>
      </c>
      <c r="BY29" s="149"/>
      <c r="CH29" s="140" t="s">
        <v>111</v>
      </c>
      <c r="CI29" s="141"/>
      <c r="CJ29" s="141"/>
      <c r="CK29" s="141"/>
      <c r="CL29" s="141"/>
      <c r="CM29" s="141"/>
      <c r="CN29" s="141"/>
      <c r="CO29" s="148">
        <v>13.399999999999999</v>
      </c>
      <c r="CP29" s="149"/>
    </row>
    <row r="30" spans="1:100" x14ac:dyDescent="0.25">
      <c r="A30" s="142" t="s">
        <v>69</v>
      </c>
      <c r="B30" s="143"/>
      <c r="C30" s="143"/>
      <c r="D30" s="143"/>
      <c r="E30" s="143"/>
      <c r="F30" s="143"/>
      <c r="G30" s="143"/>
      <c r="H30" s="153">
        <v>0</v>
      </c>
      <c r="I30" s="154"/>
      <c r="R30" s="142" t="s">
        <v>69</v>
      </c>
      <c r="S30" s="143"/>
      <c r="T30" s="143"/>
      <c r="U30" s="143"/>
      <c r="V30" s="143"/>
      <c r="W30" s="143"/>
      <c r="X30" s="143"/>
      <c r="Y30" s="153">
        <v>2</v>
      </c>
      <c r="Z30" s="154"/>
      <c r="AI30" s="142" t="s">
        <v>69</v>
      </c>
      <c r="AJ30" s="143"/>
      <c r="AK30" s="143"/>
      <c r="AL30" s="143"/>
      <c r="AM30" s="143"/>
      <c r="AN30" s="143"/>
      <c r="AO30" s="143"/>
      <c r="AP30" s="153">
        <v>1.9999999999999996</v>
      </c>
      <c r="AQ30" s="154"/>
      <c r="AZ30" s="142" t="s">
        <v>69</v>
      </c>
      <c r="BA30" s="143"/>
      <c r="BB30" s="143"/>
      <c r="BC30" s="143"/>
      <c r="BD30" s="143"/>
      <c r="BE30" s="143"/>
      <c r="BF30" s="143"/>
      <c r="BG30" s="153">
        <v>6</v>
      </c>
      <c r="BH30" s="154"/>
      <c r="BQ30" s="142" t="s">
        <v>69</v>
      </c>
      <c r="BR30" s="143"/>
      <c r="BS30" s="143"/>
      <c r="BT30" s="143"/>
      <c r="BU30" s="143"/>
      <c r="BV30" s="143"/>
      <c r="BW30" s="143"/>
      <c r="BX30" s="153">
        <v>6</v>
      </c>
      <c r="BY30" s="154"/>
      <c r="CH30" s="142" t="s">
        <v>69</v>
      </c>
      <c r="CI30" s="143"/>
      <c r="CJ30" s="143"/>
      <c r="CK30" s="143"/>
      <c r="CL30" s="143"/>
      <c r="CM30" s="143"/>
      <c r="CN30" s="143"/>
      <c r="CO30" s="153">
        <v>6</v>
      </c>
      <c r="CP30" s="154"/>
    </row>
    <row r="31" spans="1:100" ht="13.8" thickBot="1" x14ac:dyDescent="0.3">
      <c r="A31" s="144" t="s">
        <v>68</v>
      </c>
      <c r="B31" s="145"/>
      <c r="C31" s="145"/>
      <c r="D31" s="145"/>
      <c r="E31" s="145"/>
      <c r="F31" s="145"/>
      <c r="G31" s="145"/>
      <c r="H31" s="146">
        <v>0</v>
      </c>
      <c r="I31" s="147"/>
      <c r="R31" s="144" t="s">
        <v>68</v>
      </c>
      <c r="S31" s="145"/>
      <c r="T31" s="145"/>
      <c r="U31" s="145"/>
      <c r="V31" s="145"/>
      <c r="W31" s="145"/>
      <c r="X31" s="145"/>
      <c r="Y31" s="146">
        <v>0</v>
      </c>
      <c r="Z31" s="147"/>
      <c r="AI31" s="144" t="s">
        <v>68</v>
      </c>
      <c r="AJ31" s="145"/>
      <c r="AK31" s="145"/>
      <c r="AL31" s="145"/>
      <c r="AM31" s="145"/>
      <c r="AN31" s="145"/>
      <c r="AO31" s="145"/>
      <c r="AP31" s="146">
        <v>0</v>
      </c>
      <c r="AQ31" s="147"/>
      <c r="AZ31" s="144" t="s">
        <v>68</v>
      </c>
      <c r="BA31" s="145"/>
      <c r="BB31" s="145"/>
      <c r="BC31" s="145"/>
      <c r="BD31" s="145"/>
      <c r="BE31" s="145"/>
      <c r="BF31" s="145"/>
      <c r="BG31" s="146">
        <v>0</v>
      </c>
      <c r="BH31" s="147"/>
      <c r="BQ31" s="144" t="s">
        <v>68</v>
      </c>
      <c r="BR31" s="145"/>
      <c r="BS31" s="145"/>
      <c r="BT31" s="145"/>
      <c r="BU31" s="145"/>
      <c r="BV31" s="145"/>
      <c r="BW31" s="145"/>
      <c r="BX31" s="146">
        <v>2.3999999999999986</v>
      </c>
      <c r="BY31" s="147"/>
      <c r="CH31" s="144" t="s">
        <v>68</v>
      </c>
      <c r="CI31" s="145"/>
      <c r="CJ31" s="145"/>
      <c r="CK31" s="145"/>
      <c r="CL31" s="145"/>
      <c r="CM31" s="145"/>
      <c r="CN31" s="145"/>
      <c r="CO31" s="146">
        <v>7.3999999999999986</v>
      </c>
      <c r="CP31" s="147"/>
    </row>
    <row r="32" spans="1:100" x14ac:dyDescent="0.25">
      <c r="A32" s="140" t="s">
        <v>112</v>
      </c>
      <c r="B32" s="141"/>
      <c r="C32" s="141"/>
      <c r="D32" s="141"/>
      <c r="E32" s="141"/>
      <c r="F32" s="141"/>
      <c r="G32" s="141"/>
      <c r="H32" s="148">
        <v>0.75</v>
      </c>
      <c r="I32" s="149"/>
      <c r="R32" s="140" t="s">
        <v>112</v>
      </c>
      <c r="S32" s="141"/>
      <c r="T32" s="141"/>
      <c r="U32" s="141"/>
      <c r="V32" s="141"/>
      <c r="W32" s="141"/>
      <c r="X32" s="141"/>
      <c r="Y32" s="148">
        <v>0</v>
      </c>
      <c r="Z32" s="149"/>
      <c r="AI32" s="140" t="s">
        <v>112</v>
      </c>
      <c r="AJ32" s="141"/>
      <c r="AK32" s="141"/>
      <c r="AL32" s="141"/>
      <c r="AM32" s="141"/>
      <c r="AN32" s="141"/>
      <c r="AO32" s="141"/>
      <c r="AP32" s="148">
        <v>2.75</v>
      </c>
      <c r="AQ32" s="149"/>
      <c r="AZ32" s="140" t="s">
        <v>112</v>
      </c>
      <c r="BA32" s="141"/>
      <c r="BB32" s="141"/>
      <c r="BC32" s="141"/>
      <c r="BD32" s="141"/>
      <c r="BE32" s="141"/>
      <c r="BF32" s="141"/>
      <c r="BG32" s="148">
        <v>5</v>
      </c>
      <c r="BH32" s="149"/>
      <c r="BQ32" s="140" t="s">
        <v>112</v>
      </c>
      <c r="BR32" s="141"/>
      <c r="BS32" s="141"/>
      <c r="BT32" s="141"/>
      <c r="BU32" s="141"/>
      <c r="BV32" s="141"/>
      <c r="BW32" s="141"/>
      <c r="BX32" s="148">
        <v>0</v>
      </c>
      <c r="BY32" s="149"/>
      <c r="CH32" s="140" t="s">
        <v>112</v>
      </c>
      <c r="CI32" s="141"/>
      <c r="CJ32" s="141"/>
      <c r="CK32" s="141"/>
      <c r="CL32" s="141"/>
      <c r="CM32" s="141"/>
      <c r="CN32" s="141"/>
      <c r="CO32" s="148">
        <v>4.5</v>
      </c>
      <c r="CP32" s="149"/>
    </row>
    <row r="33" spans="1:94" x14ac:dyDescent="0.25">
      <c r="A33" s="142" t="s">
        <v>80</v>
      </c>
      <c r="B33" s="143"/>
      <c r="C33" s="143"/>
      <c r="D33" s="143"/>
      <c r="E33" s="143"/>
      <c r="F33" s="143"/>
      <c r="G33" s="143"/>
      <c r="H33" s="153">
        <v>0</v>
      </c>
      <c r="I33" s="154"/>
      <c r="R33" s="142" t="s">
        <v>80</v>
      </c>
      <c r="S33" s="143"/>
      <c r="T33" s="143"/>
      <c r="U33" s="143"/>
      <c r="V33" s="143"/>
      <c r="W33" s="143"/>
      <c r="X33" s="143"/>
      <c r="Y33" s="153">
        <v>0</v>
      </c>
      <c r="Z33" s="154"/>
      <c r="AI33" s="142" t="s">
        <v>80</v>
      </c>
      <c r="AJ33" s="143"/>
      <c r="AK33" s="143"/>
      <c r="AL33" s="143"/>
      <c r="AM33" s="143"/>
      <c r="AN33" s="143"/>
      <c r="AO33" s="143"/>
      <c r="AP33" s="153">
        <v>1.5</v>
      </c>
      <c r="AQ33" s="154"/>
      <c r="AZ33" s="142" t="s">
        <v>80</v>
      </c>
      <c r="BA33" s="143"/>
      <c r="BB33" s="143"/>
      <c r="BC33" s="143"/>
      <c r="BD33" s="143"/>
      <c r="BE33" s="143"/>
      <c r="BF33" s="143"/>
      <c r="BG33" s="153">
        <v>0</v>
      </c>
      <c r="BH33" s="154"/>
      <c r="BQ33" s="142" t="s">
        <v>80</v>
      </c>
      <c r="BR33" s="143"/>
      <c r="BS33" s="143"/>
      <c r="BT33" s="143"/>
      <c r="BU33" s="143"/>
      <c r="BV33" s="143"/>
      <c r="BW33" s="143"/>
      <c r="BX33" s="153">
        <v>0</v>
      </c>
      <c r="BY33" s="154"/>
      <c r="CH33" s="142" t="s">
        <v>80</v>
      </c>
      <c r="CI33" s="143"/>
      <c r="CJ33" s="143"/>
      <c r="CK33" s="143"/>
      <c r="CL33" s="143"/>
      <c r="CM33" s="143"/>
      <c r="CN33" s="143"/>
      <c r="CO33" s="153">
        <v>0</v>
      </c>
      <c r="CP33" s="154"/>
    </row>
    <row r="34" spans="1:94" ht="13.8" thickBot="1" x14ac:dyDescent="0.3">
      <c r="A34" s="144" t="s">
        <v>110</v>
      </c>
      <c r="B34" s="145"/>
      <c r="C34" s="145"/>
      <c r="D34" s="145"/>
      <c r="E34" s="145"/>
      <c r="F34" s="145"/>
      <c r="G34" s="145"/>
      <c r="H34" s="146">
        <v>0.75</v>
      </c>
      <c r="I34" s="147"/>
      <c r="R34" s="144" t="s">
        <v>110</v>
      </c>
      <c r="S34" s="145"/>
      <c r="T34" s="145"/>
      <c r="U34" s="145"/>
      <c r="V34" s="145"/>
      <c r="W34" s="145"/>
      <c r="X34" s="145"/>
      <c r="Y34" s="146">
        <v>0</v>
      </c>
      <c r="Z34" s="147"/>
      <c r="AI34" s="144" t="s">
        <v>110</v>
      </c>
      <c r="AJ34" s="145"/>
      <c r="AK34" s="145"/>
      <c r="AL34" s="145"/>
      <c r="AM34" s="145"/>
      <c r="AN34" s="145"/>
      <c r="AO34" s="145"/>
      <c r="AP34" s="146">
        <v>1.25</v>
      </c>
      <c r="AQ34" s="147"/>
      <c r="AZ34" s="144" t="s">
        <v>110</v>
      </c>
      <c r="BA34" s="145"/>
      <c r="BB34" s="145"/>
      <c r="BC34" s="145"/>
      <c r="BD34" s="145"/>
      <c r="BE34" s="145"/>
      <c r="BF34" s="145"/>
      <c r="BG34" s="146">
        <v>5</v>
      </c>
      <c r="BH34" s="147"/>
      <c r="BQ34" s="144" t="s">
        <v>110</v>
      </c>
      <c r="BR34" s="145"/>
      <c r="BS34" s="145"/>
      <c r="BT34" s="145"/>
      <c r="BU34" s="145"/>
      <c r="BV34" s="145"/>
      <c r="BW34" s="145"/>
      <c r="BX34" s="146">
        <v>0</v>
      </c>
      <c r="BY34" s="147"/>
      <c r="CH34" s="144" t="s">
        <v>110</v>
      </c>
      <c r="CI34" s="145"/>
      <c r="CJ34" s="145"/>
      <c r="CK34" s="145"/>
      <c r="CL34" s="145"/>
      <c r="CM34" s="145"/>
      <c r="CN34" s="145"/>
      <c r="CO34" s="146">
        <v>4.5</v>
      </c>
      <c r="CP34" s="147"/>
    </row>
    <row r="35" spans="1:94" x14ac:dyDescent="0.25">
      <c r="A35" s="140" t="s">
        <v>113</v>
      </c>
      <c r="B35" s="141"/>
      <c r="C35" s="141"/>
      <c r="D35" s="141"/>
      <c r="E35" s="141"/>
      <c r="F35" s="141"/>
      <c r="G35" s="141"/>
      <c r="H35" s="148">
        <v>0</v>
      </c>
      <c r="I35" s="149"/>
      <c r="R35" s="140" t="s">
        <v>113</v>
      </c>
      <c r="S35" s="141"/>
      <c r="T35" s="141"/>
      <c r="U35" s="141"/>
      <c r="V35" s="141"/>
      <c r="W35" s="141"/>
      <c r="X35" s="141"/>
      <c r="Y35" s="148">
        <v>0</v>
      </c>
      <c r="Z35" s="149"/>
      <c r="AI35" s="140" t="s">
        <v>113</v>
      </c>
      <c r="AJ35" s="141"/>
      <c r="AK35" s="141"/>
      <c r="AL35" s="141"/>
      <c r="AM35" s="141"/>
      <c r="AN35" s="141"/>
      <c r="AO35" s="141"/>
      <c r="AP35" s="148">
        <v>0</v>
      </c>
      <c r="AQ35" s="149"/>
      <c r="AZ35" s="140" t="s">
        <v>113</v>
      </c>
      <c r="BA35" s="141"/>
      <c r="BB35" s="141"/>
      <c r="BC35" s="141"/>
      <c r="BD35" s="141"/>
      <c r="BE35" s="141"/>
      <c r="BF35" s="141"/>
      <c r="BG35" s="148">
        <v>0</v>
      </c>
      <c r="BH35" s="149"/>
      <c r="BQ35" s="140" t="s">
        <v>113</v>
      </c>
      <c r="BR35" s="141"/>
      <c r="BS35" s="141"/>
      <c r="BT35" s="141"/>
      <c r="BU35" s="141"/>
      <c r="BV35" s="141"/>
      <c r="BW35" s="141"/>
      <c r="BX35" s="148">
        <v>0</v>
      </c>
      <c r="BY35" s="149"/>
      <c r="CH35" s="140" t="s">
        <v>113</v>
      </c>
      <c r="CI35" s="141"/>
      <c r="CJ35" s="141"/>
      <c r="CK35" s="141"/>
      <c r="CL35" s="141"/>
      <c r="CM35" s="141"/>
      <c r="CN35" s="141"/>
      <c r="CO35" s="148">
        <v>0</v>
      </c>
      <c r="CP35" s="149"/>
    </row>
    <row r="36" spans="1:94" ht="13.8" thickBot="1" x14ac:dyDescent="0.3">
      <c r="A36" s="144" t="s">
        <v>96</v>
      </c>
      <c r="B36" s="145"/>
      <c r="C36" s="145"/>
      <c r="D36" s="145"/>
      <c r="E36" s="145"/>
      <c r="F36" s="145"/>
      <c r="G36" s="145"/>
      <c r="H36" s="146">
        <v>0</v>
      </c>
      <c r="I36" s="147"/>
      <c r="R36" s="144" t="s">
        <v>96</v>
      </c>
      <c r="S36" s="145"/>
      <c r="T36" s="145"/>
      <c r="U36" s="145"/>
      <c r="V36" s="145"/>
      <c r="W36" s="145"/>
      <c r="X36" s="145"/>
      <c r="Y36" s="146">
        <v>0</v>
      </c>
      <c r="Z36" s="147"/>
      <c r="AI36" s="144" t="s">
        <v>96</v>
      </c>
      <c r="AJ36" s="145"/>
      <c r="AK36" s="145"/>
      <c r="AL36" s="145"/>
      <c r="AM36" s="145"/>
      <c r="AN36" s="145"/>
      <c r="AO36" s="145"/>
      <c r="AP36" s="146">
        <v>0</v>
      </c>
      <c r="AQ36" s="147"/>
      <c r="AZ36" s="144" t="s">
        <v>96</v>
      </c>
      <c r="BA36" s="145"/>
      <c r="BB36" s="145"/>
      <c r="BC36" s="145"/>
      <c r="BD36" s="145"/>
      <c r="BE36" s="145"/>
      <c r="BF36" s="145"/>
      <c r="BG36" s="146">
        <v>0</v>
      </c>
      <c r="BH36" s="147"/>
      <c r="BQ36" s="144" t="s">
        <v>96</v>
      </c>
      <c r="BR36" s="145"/>
      <c r="BS36" s="145"/>
      <c r="BT36" s="145"/>
      <c r="BU36" s="145"/>
      <c r="BV36" s="145"/>
      <c r="BW36" s="145"/>
      <c r="BX36" s="146">
        <v>0</v>
      </c>
      <c r="BY36" s="147"/>
      <c r="CH36" s="144" t="s">
        <v>96</v>
      </c>
      <c r="CI36" s="145"/>
      <c r="CJ36" s="145"/>
      <c r="CK36" s="145"/>
      <c r="CL36" s="145"/>
      <c r="CM36" s="145"/>
      <c r="CN36" s="145"/>
      <c r="CO36" s="146">
        <v>0</v>
      </c>
      <c r="CP36" s="147"/>
    </row>
    <row r="37" spans="1:94" x14ac:dyDescent="0.25">
      <c r="A37" s="140" t="s">
        <v>114</v>
      </c>
      <c r="B37" s="141"/>
      <c r="C37" s="141"/>
      <c r="D37" s="141"/>
      <c r="E37" s="141"/>
      <c r="F37" s="141"/>
      <c r="G37" s="141"/>
      <c r="H37" s="151">
        <v>0</v>
      </c>
      <c r="I37" s="152"/>
      <c r="R37" s="140" t="s">
        <v>114</v>
      </c>
      <c r="S37" s="141"/>
      <c r="T37" s="141"/>
      <c r="U37" s="141"/>
      <c r="V37" s="141"/>
      <c r="W37" s="141"/>
      <c r="X37" s="141"/>
      <c r="Y37" s="151">
        <v>0</v>
      </c>
      <c r="Z37" s="152"/>
      <c r="AI37" s="140" t="s">
        <v>114</v>
      </c>
      <c r="AJ37" s="141"/>
      <c r="AK37" s="141"/>
      <c r="AL37" s="141"/>
      <c r="AM37" s="141"/>
      <c r="AN37" s="141"/>
      <c r="AO37" s="141"/>
      <c r="AP37" s="151">
        <v>0</v>
      </c>
      <c r="AQ37" s="152"/>
      <c r="AZ37" s="140" t="s">
        <v>114</v>
      </c>
      <c r="BA37" s="141"/>
      <c r="BB37" s="141"/>
      <c r="BC37" s="141"/>
      <c r="BD37" s="141"/>
      <c r="BE37" s="141"/>
      <c r="BF37" s="141"/>
      <c r="BG37" s="151">
        <v>0</v>
      </c>
      <c r="BH37" s="152"/>
      <c r="BQ37" s="140" t="s">
        <v>114</v>
      </c>
      <c r="BR37" s="141"/>
      <c r="BS37" s="141"/>
      <c r="BT37" s="141"/>
      <c r="BU37" s="141"/>
      <c r="BV37" s="141"/>
      <c r="BW37" s="141"/>
      <c r="BX37" s="151">
        <v>0</v>
      </c>
      <c r="BY37" s="152"/>
      <c r="CH37" s="140" t="s">
        <v>114</v>
      </c>
      <c r="CI37" s="141"/>
      <c r="CJ37" s="141"/>
      <c r="CK37" s="141"/>
      <c r="CL37" s="141"/>
      <c r="CM37" s="141"/>
      <c r="CN37" s="141"/>
      <c r="CO37" s="151">
        <v>0</v>
      </c>
      <c r="CP37" s="152"/>
    </row>
    <row r="38" spans="1:94" ht="13.8" thickBot="1" x14ac:dyDescent="0.3">
      <c r="A38" s="144" t="s">
        <v>95</v>
      </c>
      <c r="B38" s="145"/>
      <c r="C38" s="145"/>
      <c r="D38" s="145"/>
      <c r="E38" s="145"/>
      <c r="F38" s="145"/>
      <c r="G38" s="145"/>
      <c r="H38" s="146">
        <v>0</v>
      </c>
      <c r="I38" s="147"/>
      <c r="R38" s="144" t="s">
        <v>95</v>
      </c>
      <c r="S38" s="145"/>
      <c r="T38" s="145"/>
      <c r="U38" s="145"/>
      <c r="V38" s="145"/>
      <c r="W38" s="145"/>
      <c r="X38" s="145"/>
      <c r="Y38" s="146">
        <v>0</v>
      </c>
      <c r="Z38" s="147"/>
      <c r="AI38" s="144" t="s">
        <v>95</v>
      </c>
      <c r="AJ38" s="145"/>
      <c r="AK38" s="145"/>
      <c r="AL38" s="145"/>
      <c r="AM38" s="145"/>
      <c r="AN38" s="145"/>
      <c r="AO38" s="145"/>
      <c r="AP38" s="146">
        <v>0</v>
      </c>
      <c r="AQ38" s="147"/>
      <c r="AZ38" s="144" t="s">
        <v>95</v>
      </c>
      <c r="BA38" s="145"/>
      <c r="BB38" s="145"/>
      <c r="BC38" s="145"/>
      <c r="BD38" s="145"/>
      <c r="BE38" s="145"/>
      <c r="BF38" s="145"/>
      <c r="BG38" s="146">
        <v>0</v>
      </c>
      <c r="BH38" s="147"/>
      <c r="BQ38" s="144" t="s">
        <v>95</v>
      </c>
      <c r="BR38" s="145"/>
      <c r="BS38" s="145"/>
      <c r="BT38" s="145"/>
      <c r="BU38" s="145"/>
      <c r="BV38" s="145"/>
      <c r="BW38" s="145"/>
      <c r="BX38" s="146">
        <v>0</v>
      </c>
      <c r="BY38" s="147"/>
      <c r="CH38" s="144" t="s">
        <v>95</v>
      </c>
      <c r="CI38" s="145"/>
      <c r="CJ38" s="145"/>
      <c r="CK38" s="145"/>
      <c r="CL38" s="145"/>
      <c r="CM38" s="145"/>
      <c r="CN38" s="145"/>
      <c r="CO38" s="146">
        <v>0</v>
      </c>
      <c r="CP38" s="147"/>
    </row>
    <row r="39" spans="1:94" x14ac:dyDescent="0.25">
      <c r="A39" s="4"/>
      <c r="B39" s="4"/>
      <c r="C39" s="4"/>
      <c r="D39" s="4"/>
      <c r="E39" s="4"/>
      <c r="F39" s="4"/>
      <c r="G39" s="4"/>
      <c r="H39" s="4"/>
      <c r="I39" s="4"/>
      <c r="R39" s="4"/>
      <c r="S39" s="4"/>
      <c r="T39" s="4"/>
      <c r="U39" s="4"/>
      <c r="V39" s="4"/>
      <c r="W39" s="4"/>
      <c r="X39" s="4"/>
      <c r="Y39" s="4"/>
      <c r="Z39" s="4"/>
      <c r="AI39" s="4"/>
      <c r="AJ39" s="4"/>
      <c r="AK39" s="4"/>
      <c r="AL39" s="4"/>
      <c r="AM39" s="4"/>
      <c r="AN39" s="4"/>
      <c r="AO39" s="4"/>
      <c r="AP39" s="4"/>
      <c r="AQ39" s="4"/>
      <c r="AZ39" s="4"/>
      <c r="BA39" s="4"/>
      <c r="BB39" s="4"/>
      <c r="BC39" s="4"/>
      <c r="BD39" s="4"/>
      <c r="BE39" s="4"/>
      <c r="BF39" s="4"/>
      <c r="BG39" s="4"/>
      <c r="BH39" s="4"/>
      <c r="BQ39" s="4"/>
      <c r="BR39" s="4"/>
      <c r="BS39" s="4"/>
      <c r="BT39" s="4"/>
      <c r="BU39" s="4"/>
      <c r="BV39" s="4"/>
      <c r="BW39" s="4"/>
      <c r="BX39" s="4"/>
      <c r="BY39" s="4"/>
      <c r="CH39" s="4"/>
      <c r="CI39" s="4"/>
      <c r="CJ39" s="4"/>
      <c r="CK39" s="4"/>
      <c r="CL39" s="4"/>
      <c r="CM39" s="4"/>
      <c r="CN39" s="4"/>
      <c r="CO39" s="4"/>
      <c r="CP39" s="4"/>
    </row>
    <row r="40" spans="1:94" x14ac:dyDescent="0.25">
      <c r="A40" s="150" t="s">
        <v>132</v>
      </c>
      <c r="B40" s="150"/>
      <c r="C40" s="150"/>
      <c r="D40" s="150"/>
      <c r="E40" s="150"/>
      <c r="F40" s="150"/>
      <c r="G40" s="150"/>
      <c r="H40" s="150"/>
      <c r="I40" s="150"/>
      <c r="R40" s="150" t="s">
        <v>132</v>
      </c>
      <c r="S40" s="150"/>
      <c r="T40" s="150"/>
      <c r="U40" s="150"/>
      <c r="V40" s="150"/>
      <c r="W40" s="150"/>
      <c r="X40" s="150"/>
      <c r="Y40" s="150"/>
      <c r="Z40" s="150"/>
      <c r="AI40" s="150" t="s">
        <v>132</v>
      </c>
      <c r="AJ40" s="150"/>
      <c r="AK40" s="150"/>
      <c r="AL40" s="150"/>
      <c r="AM40" s="150"/>
      <c r="AN40" s="150"/>
      <c r="AO40" s="150"/>
      <c r="AP40" s="150"/>
      <c r="AQ40" s="150"/>
      <c r="AZ40" s="150" t="s">
        <v>132</v>
      </c>
      <c r="BA40" s="150"/>
      <c r="BB40" s="150"/>
      <c r="BC40" s="150"/>
      <c r="BD40" s="150"/>
      <c r="BE40" s="150"/>
      <c r="BF40" s="150"/>
      <c r="BG40" s="150"/>
      <c r="BH40" s="150"/>
      <c r="BQ40" s="150" t="s">
        <v>132</v>
      </c>
      <c r="BR40" s="150"/>
      <c r="BS40" s="150"/>
      <c r="BT40" s="150"/>
      <c r="BU40" s="150"/>
      <c r="BV40" s="150"/>
      <c r="BW40" s="150"/>
      <c r="BX40" s="150"/>
      <c r="BY40" s="150"/>
      <c r="CH40" s="150" t="s">
        <v>132</v>
      </c>
      <c r="CI40" s="150"/>
      <c r="CJ40" s="150"/>
      <c r="CK40" s="150"/>
      <c r="CL40" s="150"/>
      <c r="CM40" s="150"/>
      <c r="CN40" s="150"/>
      <c r="CO40" s="150"/>
      <c r="CP40" s="150"/>
    </row>
    <row r="41" spans="1:94" x14ac:dyDescent="0.25">
      <c r="A41" s="5"/>
      <c r="B41" s="5"/>
      <c r="C41" s="5"/>
      <c r="D41" s="5"/>
      <c r="E41" s="5"/>
      <c r="F41" s="5"/>
      <c r="G41" s="5"/>
      <c r="H41" s="5"/>
      <c r="I41" s="5"/>
      <c r="R41" s="5"/>
      <c r="S41" s="5"/>
      <c r="T41" s="5"/>
      <c r="U41" s="5"/>
      <c r="V41" s="5"/>
      <c r="W41" s="5"/>
      <c r="X41" s="5"/>
      <c r="Y41" s="5"/>
      <c r="Z41" s="5"/>
      <c r="AI41" s="5"/>
      <c r="AJ41" s="5"/>
      <c r="AK41" s="5"/>
      <c r="AL41" s="5"/>
      <c r="AM41" s="5"/>
      <c r="AN41" s="5"/>
      <c r="AO41" s="5"/>
      <c r="AP41" s="5"/>
      <c r="AQ41" s="5"/>
      <c r="AZ41" s="5"/>
      <c r="BA41" s="5"/>
      <c r="BB41" s="5"/>
      <c r="BC41" s="5"/>
      <c r="BD41" s="5"/>
      <c r="BE41" s="5"/>
      <c r="BF41" s="5"/>
      <c r="BG41" s="5"/>
      <c r="BH41" s="5"/>
      <c r="BQ41" s="5"/>
      <c r="BR41" s="5"/>
      <c r="BS41" s="5"/>
      <c r="BT41" s="5"/>
      <c r="BU41" s="5"/>
      <c r="BV41" s="5"/>
      <c r="BW41" s="5"/>
      <c r="BX41" s="5"/>
      <c r="BY41" s="5"/>
      <c r="CH41" s="5"/>
      <c r="CI41" s="5"/>
      <c r="CJ41" s="5"/>
      <c r="CK41" s="5"/>
      <c r="CL41" s="5"/>
      <c r="CM41" s="5"/>
      <c r="CN41" s="5"/>
      <c r="CO41" s="5"/>
      <c r="CP41" s="5"/>
    </row>
    <row r="42" spans="1:94" x14ac:dyDescent="0.25">
      <c r="A42" s="4"/>
      <c r="B42" s="4"/>
      <c r="C42" s="4"/>
      <c r="D42" s="4"/>
      <c r="E42" s="4"/>
      <c r="F42" s="4"/>
      <c r="G42" s="4"/>
      <c r="H42" s="4"/>
      <c r="I42" s="4"/>
      <c r="R42" s="4"/>
      <c r="S42" s="4"/>
      <c r="T42" s="4"/>
      <c r="U42" s="4"/>
      <c r="V42" s="4"/>
      <c r="W42" s="4"/>
      <c r="X42" s="4"/>
      <c r="Y42" s="4"/>
      <c r="Z42" s="4"/>
      <c r="AI42" s="4"/>
      <c r="AJ42" s="4"/>
      <c r="AK42" s="4"/>
      <c r="AL42" s="4"/>
      <c r="AM42" s="4"/>
      <c r="AN42" s="4"/>
      <c r="AO42" s="4"/>
      <c r="AP42" s="4"/>
      <c r="AQ42" s="4"/>
      <c r="AZ42" s="4"/>
      <c r="BA42" s="4"/>
      <c r="BB42" s="4"/>
      <c r="BC42" s="4"/>
      <c r="BD42" s="4"/>
      <c r="BE42" s="4"/>
      <c r="BF42" s="4"/>
      <c r="BG42" s="4"/>
      <c r="BH42" s="4"/>
      <c r="BQ42" s="4"/>
      <c r="BR42" s="4"/>
      <c r="BS42" s="4"/>
      <c r="BT42" s="4"/>
      <c r="BU42" s="4"/>
      <c r="BV42" s="4"/>
      <c r="BW42" s="4"/>
      <c r="BX42" s="4"/>
      <c r="BY42" s="4"/>
      <c r="CH42" s="4"/>
      <c r="CI42" s="4"/>
      <c r="CJ42" s="4"/>
      <c r="CK42" s="4"/>
      <c r="CL42" s="4"/>
      <c r="CM42" s="4"/>
      <c r="CN42" s="4"/>
      <c r="CO42" s="4"/>
      <c r="CP42" s="4"/>
    </row>
    <row r="43" spans="1:94" x14ac:dyDescent="0.25">
      <c r="A43" s="102" t="s">
        <v>133</v>
      </c>
      <c r="B43" s="102"/>
      <c r="C43" s="102"/>
      <c r="D43" s="102"/>
      <c r="E43" s="102"/>
      <c r="F43" s="102"/>
      <c r="G43" s="102"/>
      <c r="H43" s="102"/>
      <c r="I43" s="102"/>
      <c r="R43" s="102" t="s">
        <v>133</v>
      </c>
      <c r="S43" s="102"/>
      <c r="T43" s="102"/>
      <c r="U43" s="102"/>
      <c r="V43" s="102"/>
      <c r="W43" s="102"/>
      <c r="X43" s="102"/>
      <c r="Y43" s="102"/>
      <c r="Z43" s="102"/>
      <c r="AI43" s="102" t="s">
        <v>133</v>
      </c>
      <c r="AJ43" s="102"/>
      <c r="AK43" s="102"/>
      <c r="AL43" s="102"/>
      <c r="AM43" s="102"/>
      <c r="AN43" s="102"/>
      <c r="AO43" s="102"/>
      <c r="AP43" s="102"/>
      <c r="AQ43" s="102"/>
      <c r="AZ43" s="102" t="s">
        <v>133</v>
      </c>
      <c r="BA43" s="102"/>
      <c r="BB43" s="102"/>
      <c r="BC43" s="102"/>
      <c r="BD43" s="102"/>
      <c r="BE43" s="102"/>
      <c r="BF43" s="102"/>
      <c r="BG43" s="102"/>
      <c r="BH43" s="102"/>
      <c r="BQ43" s="102" t="s">
        <v>133</v>
      </c>
      <c r="BR43" s="102"/>
      <c r="BS43" s="102"/>
      <c r="BT43" s="102"/>
      <c r="BU43" s="102"/>
      <c r="BV43" s="102"/>
      <c r="BW43" s="102"/>
      <c r="BX43" s="102"/>
      <c r="BY43" s="102"/>
      <c r="CH43" s="102" t="s">
        <v>133</v>
      </c>
      <c r="CI43" s="102"/>
      <c r="CJ43" s="102"/>
      <c r="CK43" s="102"/>
      <c r="CL43" s="102"/>
      <c r="CM43" s="102"/>
      <c r="CN43" s="102"/>
      <c r="CO43" s="102"/>
      <c r="CP43" s="102"/>
    </row>
    <row r="44" spans="1:94" x14ac:dyDescent="0.25">
      <c r="A44" s="132" t="s">
        <v>60</v>
      </c>
      <c r="B44" s="132"/>
      <c r="C44" s="132"/>
      <c r="D44" s="132"/>
      <c r="E44" s="132"/>
      <c r="F44" s="132"/>
      <c r="G44" s="132"/>
      <c r="H44" s="132" t="s">
        <v>59</v>
      </c>
      <c r="I44" s="132"/>
      <c r="R44" s="132" t="s">
        <v>60</v>
      </c>
      <c r="S44" s="132"/>
      <c r="T44" s="132"/>
      <c r="U44" s="132"/>
      <c r="V44" s="132"/>
      <c r="W44" s="132"/>
      <c r="X44" s="132"/>
      <c r="Y44" s="132" t="s">
        <v>59</v>
      </c>
      <c r="Z44" s="132"/>
      <c r="AI44" s="132" t="s">
        <v>60</v>
      </c>
      <c r="AJ44" s="132"/>
      <c r="AK44" s="132"/>
      <c r="AL44" s="132"/>
      <c r="AM44" s="132"/>
      <c r="AN44" s="132"/>
      <c r="AO44" s="132"/>
      <c r="AP44" s="132" t="s">
        <v>59</v>
      </c>
      <c r="AQ44" s="132"/>
      <c r="AZ44" s="132" t="s">
        <v>60</v>
      </c>
      <c r="BA44" s="132"/>
      <c r="BB44" s="132"/>
      <c r="BC44" s="132"/>
      <c r="BD44" s="132"/>
      <c r="BE44" s="132"/>
      <c r="BF44" s="132"/>
      <c r="BG44" s="132" t="s">
        <v>59</v>
      </c>
      <c r="BH44" s="132"/>
      <c r="BQ44" s="132" t="s">
        <v>60</v>
      </c>
      <c r="BR44" s="132"/>
      <c r="BS44" s="132"/>
      <c r="BT44" s="132"/>
      <c r="BU44" s="132"/>
      <c r="BV44" s="132"/>
      <c r="BW44" s="132"/>
      <c r="BX44" s="132" t="s">
        <v>59</v>
      </c>
      <c r="BY44" s="132"/>
      <c r="CH44" s="132" t="s">
        <v>60</v>
      </c>
      <c r="CI44" s="132"/>
      <c r="CJ44" s="132"/>
      <c r="CK44" s="132"/>
      <c r="CL44" s="132"/>
      <c r="CM44" s="132"/>
      <c r="CN44" s="132"/>
      <c r="CO44" s="132" t="s">
        <v>59</v>
      </c>
      <c r="CP44" s="132"/>
    </row>
    <row r="45" spans="1:94" x14ac:dyDescent="0.25">
      <c r="A45" s="133"/>
      <c r="B45" s="133"/>
      <c r="C45" s="133"/>
      <c r="D45" s="133"/>
      <c r="E45" s="133"/>
      <c r="F45" s="133"/>
      <c r="G45" s="133"/>
      <c r="H45" s="133"/>
      <c r="I45" s="133"/>
      <c r="R45" s="133"/>
      <c r="S45" s="133"/>
      <c r="T45" s="133"/>
      <c r="U45" s="133"/>
      <c r="V45" s="133"/>
      <c r="W45" s="133"/>
      <c r="X45" s="133"/>
      <c r="Y45" s="133"/>
      <c r="Z45" s="133"/>
      <c r="AI45" s="133"/>
      <c r="AJ45" s="133"/>
      <c r="AK45" s="133"/>
      <c r="AL45" s="133"/>
      <c r="AM45" s="133"/>
      <c r="AN45" s="133"/>
      <c r="AO45" s="133"/>
      <c r="AP45" s="133"/>
      <c r="AQ45" s="133"/>
      <c r="AZ45" s="133"/>
      <c r="BA45" s="133"/>
      <c r="BB45" s="133"/>
      <c r="BC45" s="133"/>
      <c r="BD45" s="133"/>
      <c r="BE45" s="133"/>
      <c r="BF45" s="133"/>
      <c r="BG45" s="133"/>
      <c r="BH45" s="133"/>
      <c r="BQ45" s="133"/>
      <c r="BR45" s="133"/>
      <c r="BS45" s="133"/>
      <c r="BT45" s="133"/>
      <c r="BU45" s="133"/>
      <c r="BV45" s="133"/>
      <c r="BW45" s="133"/>
      <c r="BX45" s="133"/>
      <c r="BY45" s="133"/>
      <c r="CH45" s="133"/>
      <c r="CI45" s="133"/>
      <c r="CJ45" s="133"/>
      <c r="CK45" s="133"/>
      <c r="CL45" s="133"/>
      <c r="CM45" s="133"/>
      <c r="CN45" s="133"/>
      <c r="CO45" s="133"/>
      <c r="CP45" s="133"/>
    </row>
    <row r="46" spans="1:94" x14ac:dyDescent="0.25">
      <c r="A46" s="137" t="s">
        <v>94</v>
      </c>
      <c r="B46" s="138"/>
      <c r="C46" s="138"/>
      <c r="D46" s="138"/>
      <c r="E46" s="138"/>
      <c r="F46" s="138"/>
      <c r="G46" s="139"/>
      <c r="H46" s="114">
        <v>37.75</v>
      </c>
      <c r="I46" s="115"/>
      <c r="R46" s="137" t="s">
        <v>94</v>
      </c>
      <c r="S46" s="138"/>
      <c r="T46" s="138"/>
      <c r="U46" s="138"/>
      <c r="V46" s="138"/>
      <c r="W46" s="138"/>
      <c r="X46" s="139"/>
      <c r="Y46" s="114">
        <v>39</v>
      </c>
      <c r="Z46" s="115"/>
      <c r="AI46" s="137" t="s">
        <v>94</v>
      </c>
      <c r="AJ46" s="138"/>
      <c r="AK46" s="138"/>
      <c r="AL46" s="138"/>
      <c r="AM46" s="138"/>
      <c r="AN46" s="138"/>
      <c r="AO46" s="139"/>
      <c r="AP46" s="114">
        <v>41.75</v>
      </c>
      <c r="AQ46" s="115"/>
      <c r="AZ46" s="137" t="s">
        <v>94</v>
      </c>
      <c r="BA46" s="138"/>
      <c r="BB46" s="138"/>
      <c r="BC46" s="138"/>
      <c r="BD46" s="138"/>
      <c r="BE46" s="138"/>
      <c r="BF46" s="139"/>
      <c r="BG46" s="114">
        <v>48</v>
      </c>
      <c r="BH46" s="115"/>
      <c r="BQ46" s="137" t="s">
        <v>94</v>
      </c>
      <c r="BR46" s="138"/>
      <c r="BS46" s="138"/>
      <c r="BT46" s="138"/>
      <c r="BU46" s="138"/>
      <c r="BV46" s="138"/>
      <c r="BW46" s="139"/>
      <c r="BX46" s="114">
        <v>38</v>
      </c>
      <c r="BY46" s="115"/>
      <c r="CH46" s="137" t="s">
        <v>94</v>
      </c>
      <c r="CI46" s="138"/>
      <c r="CJ46" s="138"/>
      <c r="CK46" s="138"/>
      <c r="CL46" s="138"/>
      <c r="CM46" s="138"/>
      <c r="CN46" s="139"/>
      <c r="CO46" s="114">
        <v>47.5</v>
      </c>
      <c r="CP46" s="115"/>
    </row>
    <row r="47" spans="1:94" x14ac:dyDescent="0.25">
      <c r="A47" s="134" t="s">
        <v>68</v>
      </c>
      <c r="B47" s="135"/>
      <c r="C47" s="135"/>
      <c r="D47" s="135"/>
      <c r="E47" s="135"/>
      <c r="F47" s="135"/>
      <c r="G47" s="136"/>
      <c r="H47" s="103">
        <v>37.75</v>
      </c>
      <c r="I47" s="104"/>
      <c r="R47" s="134" t="s">
        <v>68</v>
      </c>
      <c r="S47" s="135"/>
      <c r="T47" s="135"/>
      <c r="U47" s="135"/>
      <c r="V47" s="135"/>
      <c r="W47" s="135"/>
      <c r="X47" s="136"/>
      <c r="Y47" s="103">
        <v>34</v>
      </c>
      <c r="Z47" s="104"/>
      <c r="AI47" s="134" t="s">
        <v>68</v>
      </c>
      <c r="AJ47" s="135"/>
      <c r="AK47" s="135"/>
      <c r="AL47" s="135"/>
      <c r="AM47" s="135"/>
      <c r="AN47" s="135"/>
      <c r="AO47" s="136"/>
      <c r="AP47" s="103">
        <v>39.75</v>
      </c>
      <c r="AQ47" s="104"/>
      <c r="AZ47" s="134" t="s">
        <v>68</v>
      </c>
      <c r="BA47" s="135"/>
      <c r="BB47" s="135"/>
      <c r="BC47" s="135"/>
      <c r="BD47" s="135"/>
      <c r="BE47" s="135"/>
      <c r="BF47" s="136"/>
      <c r="BG47" s="103">
        <v>42</v>
      </c>
      <c r="BH47" s="104"/>
      <c r="BQ47" s="134" t="s">
        <v>68</v>
      </c>
      <c r="BR47" s="135"/>
      <c r="BS47" s="135"/>
      <c r="BT47" s="135"/>
      <c r="BU47" s="135"/>
      <c r="BV47" s="135"/>
      <c r="BW47" s="136"/>
      <c r="BX47" s="103">
        <v>32</v>
      </c>
      <c r="BY47" s="104"/>
      <c r="CH47" s="134" t="s">
        <v>68</v>
      </c>
      <c r="CI47" s="135"/>
      <c r="CJ47" s="135"/>
      <c r="CK47" s="135"/>
      <c r="CL47" s="135"/>
      <c r="CM47" s="135"/>
      <c r="CN47" s="136"/>
      <c r="CO47" s="103">
        <v>41.5</v>
      </c>
      <c r="CP47" s="104"/>
    </row>
    <row r="48" spans="1:94" x14ac:dyDescent="0.25">
      <c r="A48" s="105" t="s">
        <v>97</v>
      </c>
      <c r="B48" s="106"/>
      <c r="C48" s="106"/>
      <c r="D48" s="106"/>
      <c r="E48" s="106"/>
      <c r="F48" s="106"/>
      <c r="G48" s="107"/>
      <c r="H48" s="108">
        <v>0</v>
      </c>
      <c r="I48" s="109"/>
      <c r="R48" s="105" t="s">
        <v>97</v>
      </c>
      <c r="S48" s="106"/>
      <c r="T48" s="106"/>
      <c r="U48" s="106"/>
      <c r="V48" s="106"/>
      <c r="W48" s="106"/>
      <c r="X48" s="107"/>
      <c r="Y48" s="108">
        <v>0</v>
      </c>
      <c r="Z48" s="109"/>
      <c r="AI48" s="105" t="s">
        <v>97</v>
      </c>
      <c r="AJ48" s="106"/>
      <c r="AK48" s="106"/>
      <c r="AL48" s="106"/>
      <c r="AM48" s="106"/>
      <c r="AN48" s="106"/>
      <c r="AO48" s="107"/>
      <c r="AP48" s="108">
        <v>1.5</v>
      </c>
      <c r="AQ48" s="109"/>
      <c r="AZ48" s="105" t="s">
        <v>97</v>
      </c>
      <c r="BA48" s="106"/>
      <c r="BB48" s="106"/>
      <c r="BC48" s="106"/>
      <c r="BD48" s="106"/>
      <c r="BE48" s="106"/>
      <c r="BF48" s="107"/>
      <c r="BG48" s="108">
        <v>0</v>
      </c>
      <c r="BH48" s="109"/>
      <c r="BQ48" s="105" t="s">
        <v>97</v>
      </c>
      <c r="BR48" s="106"/>
      <c r="BS48" s="106"/>
      <c r="BT48" s="106"/>
      <c r="BU48" s="106"/>
      <c r="BV48" s="106"/>
      <c r="BW48" s="107"/>
      <c r="BX48" s="108">
        <v>0</v>
      </c>
      <c r="BY48" s="109"/>
      <c r="CH48" s="105" t="s">
        <v>97</v>
      </c>
      <c r="CI48" s="106"/>
      <c r="CJ48" s="106"/>
      <c r="CK48" s="106"/>
      <c r="CL48" s="106"/>
      <c r="CM48" s="106"/>
      <c r="CN48" s="107"/>
      <c r="CO48" s="108">
        <v>0</v>
      </c>
      <c r="CP48" s="109"/>
    </row>
    <row r="49" spans="1:94" x14ac:dyDescent="0.25">
      <c r="A49" s="134" t="s">
        <v>69</v>
      </c>
      <c r="B49" s="135"/>
      <c r="C49" s="135"/>
      <c r="D49" s="135"/>
      <c r="E49" s="135"/>
      <c r="F49" s="135"/>
      <c r="G49" s="136"/>
      <c r="H49" s="103">
        <v>0</v>
      </c>
      <c r="I49" s="104"/>
      <c r="R49" s="134" t="s">
        <v>69</v>
      </c>
      <c r="S49" s="135"/>
      <c r="T49" s="135"/>
      <c r="U49" s="135"/>
      <c r="V49" s="135"/>
      <c r="W49" s="135"/>
      <c r="X49" s="136"/>
      <c r="Y49" s="103">
        <v>4.9999999999999982</v>
      </c>
      <c r="Z49" s="104"/>
      <c r="AI49" s="134" t="s">
        <v>69</v>
      </c>
      <c r="AJ49" s="135"/>
      <c r="AK49" s="135"/>
      <c r="AL49" s="135"/>
      <c r="AM49" s="135"/>
      <c r="AN49" s="135"/>
      <c r="AO49" s="136"/>
      <c r="AP49" s="103">
        <v>1.9999999999999996</v>
      </c>
      <c r="AQ49" s="104"/>
      <c r="AZ49" s="134" t="s">
        <v>69</v>
      </c>
      <c r="BA49" s="135"/>
      <c r="BB49" s="135"/>
      <c r="BC49" s="135"/>
      <c r="BD49" s="135"/>
      <c r="BE49" s="135"/>
      <c r="BF49" s="136"/>
      <c r="BG49" s="103">
        <v>6</v>
      </c>
      <c r="BH49" s="104"/>
      <c r="BQ49" s="134" t="s">
        <v>69</v>
      </c>
      <c r="BR49" s="135"/>
      <c r="BS49" s="135"/>
      <c r="BT49" s="135"/>
      <c r="BU49" s="135"/>
      <c r="BV49" s="135"/>
      <c r="BW49" s="136"/>
      <c r="BX49" s="103">
        <v>6</v>
      </c>
      <c r="BY49" s="104"/>
      <c r="CH49" s="134" t="s">
        <v>69</v>
      </c>
      <c r="CI49" s="135"/>
      <c r="CJ49" s="135"/>
      <c r="CK49" s="135"/>
      <c r="CL49" s="135"/>
      <c r="CM49" s="135"/>
      <c r="CN49" s="136"/>
      <c r="CO49" s="103">
        <v>6</v>
      </c>
      <c r="CP49" s="104"/>
    </row>
    <row r="50" spans="1:94" x14ac:dyDescent="0.25">
      <c r="A50" s="116" t="s">
        <v>70</v>
      </c>
      <c r="B50" s="117"/>
      <c r="C50" s="117"/>
      <c r="D50" s="117"/>
      <c r="E50" s="117"/>
      <c r="F50" s="117"/>
      <c r="G50" s="118"/>
      <c r="H50" s="127">
        <v>0</v>
      </c>
      <c r="I50" s="128"/>
      <c r="R50" s="116" t="s">
        <v>70</v>
      </c>
      <c r="S50" s="117"/>
      <c r="T50" s="117"/>
      <c r="U50" s="117"/>
      <c r="V50" s="117"/>
      <c r="W50" s="117"/>
      <c r="X50" s="118"/>
      <c r="Y50" s="127">
        <v>0</v>
      </c>
      <c r="Z50" s="128"/>
      <c r="AI50" s="116" t="s">
        <v>70</v>
      </c>
      <c r="AJ50" s="117"/>
      <c r="AK50" s="117"/>
      <c r="AL50" s="117"/>
      <c r="AM50" s="117"/>
      <c r="AN50" s="117"/>
      <c r="AO50" s="118"/>
      <c r="AP50" s="127">
        <v>0</v>
      </c>
      <c r="AQ50" s="128"/>
      <c r="AZ50" s="116" t="s">
        <v>70</v>
      </c>
      <c r="BA50" s="117"/>
      <c r="BB50" s="117"/>
      <c r="BC50" s="117"/>
      <c r="BD50" s="117"/>
      <c r="BE50" s="117"/>
      <c r="BF50" s="118"/>
      <c r="BG50" s="127">
        <v>0</v>
      </c>
      <c r="BH50" s="128"/>
      <c r="BQ50" s="116" t="s">
        <v>70</v>
      </c>
      <c r="BR50" s="117"/>
      <c r="BS50" s="117"/>
      <c r="BT50" s="117"/>
      <c r="BU50" s="117"/>
      <c r="BV50" s="117"/>
      <c r="BW50" s="118"/>
      <c r="BX50" s="127">
        <v>0</v>
      </c>
      <c r="BY50" s="128"/>
      <c r="CH50" s="116" t="s">
        <v>70</v>
      </c>
      <c r="CI50" s="117"/>
      <c r="CJ50" s="117"/>
      <c r="CK50" s="117"/>
      <c r="CL50" s="117"/>
      <c r="CM50" s="117"/>
      <c r="CN50" s="118"/>
      <c r="CO50" s="127">
        <v>0</v>
      </c>
      <c r="CP50" s="128"/>
    </row>
    <row r="51" spans="1:94" x14ac:dyDescent="0.25">
      <c r="A51" s="288" t="s">
        <v>81</v>
      </c>
      <c r="B51" s="289"/>
      <c r="C51" s="289"/>
      <c r="D51" s="289"/>
      <c r="E51" s="289"/>
      <c r="F51" s="289"/>
      <c r="G51" s="290"/>
      <c r="H51" s="291">
        <v>0.75</v>
      </c>
      <c r="I51" s="292"/>
      <c r="R51" s="288" t="s">
        <v>81</v>
      </c>
      <c r="S51" s="289"/>
      <c r="T51" s="289"/>
      <c r="U51" s="289"/>
      <c r="V51" s="289"/>
      <c r="W51" s="289"/>
      <c r="X51" s="290"/>
      <c r="Y51" s="291">
        <v>0</v>
      </c>
      <c r="Z51" s="292"/>
      <c r="AI51" s="288" t="s">
        <v>81</v>
      </c>
      <c r="AJ51" s="289"/>
      <c r="AK51" s="289"/>
      <c r="AL51" s="289"/>
      <c r="AM51" s="289"/>
      <c r="AN51" s="289"/>
      <c r="AO51" s="290"/>
      <c r="AP51" s="291">
        <v>2.75</v>
      </c>
      <c r="AQ51" s="292"/>
      <c r="AZ51" s="288" t="s">
        <v>81</v>
      </c>
      <c r="BA51" s="289"/>
      <c r="BB51" s="289"/>
      <c r="BC51" s="289"/>
      <c r="BD51" s="289"/>
      <c r="BE51" s="289"/>
      <c r="BF51" s="290"/>
      <c r="BG51" s="291">
        <v>5</v>
      </c>
      <c r="BH51" s="292"/>
      <c r="BQ51" s="288" t="s">
        <v>81</v>
      </c>
      <c r="BR51" s="289"/>
      <c r="BS51" s="289"/>
      <c r="BT51" s="289"/>
      <c r="BU51" s="289"/>
      <c r="BV51" s="289"/>
      <c r="BW51" s="290"/>
      <c r="BX51" s="291">
        <v>0</v>
      </c>
      <c r="BY51" s="292"/>
      <c r="CH51" s="288" t="s">
        <v>81</v>
      </c>
      <c r="CI51" s="289"/>
      <c r="CJ51" s="289"/>
      <c r="CK51" s="289"/>
      <c r="CL51" s="289"/>
      <c r="CM51" s="289"/>
      <c r="CN51" s="290"/>
      <c r="CO51" s="291">
        <v>4.5</v>
      </c>
      <c r="CP51" s="292"/>
    </row>
  </sheetData>
  <sheetProtection sheet="1" objects="1" scenarios="1"/>
  <mergeCells count="768">
    <mergeCell ref="CU23:CV23"/>
    <mergeCell ref="CK22:CL22"/>
    <mergeCell ref="CM22:CN22"/>
    <mergeCell ref="CO22:CP22"/>
    <mergeCell ref="CQ22:CR22"/>
    <mergeCell ref="CS22:CT22"/>
    <mergeCell ref="CU22:CV22"/>
    <mergeCell ref="CK21:CL21"/>
    <mergeCell ref="CM21:CN21"/>
    <mergeCell ref="CO21:CP21"/>
    <mergeCell ref="CQ21:CR21"/>
    <mergeCell ref="CS21:CT21"/>
    <mergeCell ref="CU21:CV21"/>
    <mergeCell ref="CQ20:CR20"/>
    <mergeCell ref="CS20:CT20"/>
    <mergeCell ref="CU20:CV20"/>
    <mergeCell ref="CK19:CL19"/>
    <mergeCell ref="CM19:CN19"/>
    <mergeCell ref="CO19:CP19"/>
    <mergeCell ref="CQ19:CR19"/>
    <mergeCell ref="CS19:CT19"/>
    <mergeCell ref="CU19:CV19"/>
    <mergeCell ref="CU16:CV16"/>
    <mergeCell ref="CK10:CL10"/>
    <mergeCell ref="CM10:CN10"/>
    <mergeCell ref="CO10:CP10"/>
    <mergeCell ref="CQ10:CR10"/>
    <mergeCell ref="CS10:CT10"/>
    <mergeCell ref="CU10:CV10"/>
    <mergeCell ref="CK18:CL18"/>
    <mergeCell ref="CM18:CN18"/>
    <mergeCell ref="CO18:CP18"/>
    <mergeCell ref="CQ18:CR18"/>
    <mergeCell ref="CS18:CT18"/>
    <mergeCell ref="CU18:CV18"/>
    <mergeCell ref="CK17:CL17"/>
    <mergeCell ref="CM17:CN17"/>
    <mergeCell ref="CO17:CP17"/>
    <mergeCell ref="CQ17:CR17"/>
    <mergeCell ref="CS17:CT17"/>
    <mergeCell ref="CU17:CV17"/>
    <mergeCell ref="CU9:CV9"/>
    <mergeCell ref="CK8:CL8"/>
    <mergeCell ref="CM8:CN8"/>
    <mergeCell ref="CO8:CP8"/>
    <mergeCell ref="CQ8:CR8"/>
    <mergeCell ref="CS8:CT8"/>
    <mergeCell ref="CU8:CV8"/>
    <mergeCell ref="CK11:CT11"/>
    <mergeCell ref="CU11:CV11"/>
    <mergeCell ref="CU6:CV6"/>
    <mergeCell ref="CK7:CL7"/>
    <mergeCell ref="CM7:CN7"/>
    <mergeCell ref="CO7:CP7"/>
    <mergeCell ref="CQ7:CR7"/>
    <mergeCell ref="CS7:CT7"/>
    <mergeCell ref="CU7:CV7"/>
    <mergeCell ref="CU4:CV4"/>
    <mergeCell ref="CK5:CL5"/>
    <mergeCell ref="CM5:CN5"/>
    <mergeCell ref="CO5:CP5"/>
    <mergeCell ref="CQ5:CR5"/>
    <mergeCell ref="CS5:CT5"/>
    <mergeCell ref="CU5:CV5"/>
    <mergeCell ref="CD23:CE23"/>
    <mergeCell ref="CK4:CL4"/>
    <mergeCell ref="CM4:CN4"/>
    <mergeCell ref="CO4:CP4"/>
    <mergeCell ref="CQ4:CR4"/>
    <mergeCell ref="CS4:CT4"/>
    <mergeCell ref="CK6:CL6"/>
    <mergeCell ref="CM6:CN6"/>
    <mergeCell ref="CO6:CP6"/>
    <mergeCell ref="CQ6:CR6"/>
    <mergeCell ref="CS6:CT6"/>
    <mergeCell ref="CK9:CL9"/>
    <mergeCell ref="CM9:CN9"/>
    <mergeCell ref="CO9:CP9"/>
    <mergeCell ref="CQ9:CR9"/>
    <mergeCell ref="CS9:CT9"/>
    <mergeCell ref="CK16:CL16"/>
    <mergeCell ref="CM16:CN16"/>
    <mergeCell ref="CO16:CP16"/>
    <mergeCell ref="CQ16:CR16"/>
    <mergeCell ref="CS16:CT16"/>
    <mergeCell ref="CK20:CL20"/>
    <mergeCell ref="CM20:CN20"/>
    <mergeCell ref="CO20:CP20"/>
    <mergeCell ref="BT22:BU22"/>
    <mergeCell ref="BV22:BW22"/>
    <mergeCell ref="BX22:BY22"/>
    <mergeCell ref="BZ22:CA22"/>
    <mergeCell ref="CB22:CC22"/>
    <mergeCell ref="CD22:CE22"/>
    <mergeCell ref="BT21:BU21"/>
    <mergeCell ref="BV21:BW21"/>
    <mergeCell ref="BX21:BY21"/>
    <mergeCell ref="BZ21:CA21"/>
    <mergeCell ref="CB21:CC21"/>
    <mergeCell ref="CD21:CE21"/>
    <mergeCell ref="BT20:BU20"/>
    <mergeCell ref="BV20:BW20"/>
    <mergeCell ref="BX20:BY20"/>
    <mergeCell ref="BZ20:CA20"/>
    <mergeCell ref="CB20:CC20"/>
    <mergeCell ref="CD20:CE20"/>
    <mergeCell ref="BT19:BU19"/>
    <mergeCell ref="BV19:BW19"/>
    <mergeCell ref="BX19:BY19"/>
    <mergeCell ref="BZ19:CA19"/>
    <mergeCell ref="CB19:CC19"/>
    <mergeCell ref="CD19:CE19"/>
    <mergeCell ref="BT18:BU18"/>
    <mergeCell ref="BV18:BW18"/>
    <mergeCell ref="BX18:BY18"/>
    <mergeCell ref="BZ18:CA18"/>
    <mergeCell ref="CB18:CC18"/>
    <mergeCell ref="CD18:CE18"/>
    <mergeCell ref="BT17:BU17"/>
    <mergeCell ref="BV17:BW17"/>
    <mergeCell ref="BX17:BY17"/>
    <mergeCell ref="BZ17:CA17"/>
    <mergeCell ref="CB17:CC17"/>
    <mergeCell ref="CD17:CE17"/>
    <mergeCell ref="BT11:CC11"/>
    <mergeCell ref="CD11:CE11"/>
    <mergeCell ref="BT16:BU16"/>
    <mergeCell ref="BV16:BW16"/>
    <mergeCell ref="BX16:BY16"/>
    <mergeCell ref="BZ16:CA16"/>
    <mergeCell ref="CB16:CC16"/>
    <mergeCell ref="CD16:CE16"/>
    <mergeCell ref="BT10:BU10"/>
    <mergeCell ref="BV10:BW10"/>
    <mergeCell ref="BX10:BY10"/>
    <mergeCell ref="BZ10:CA10"/>
    <mergeCell ref="CB10:CC10"/>
    <mergeCell ref="CD10:CE10"/>
    <mergeCell ref="BX8:BY8"/>
    <mergeCell ref="BZ8:CA8"/>
    <mergeCell ref="CB8:CC8"/>
    <mergeCell ref="CD8:CE8"/>
    <mergeCell ref="BT9:BU9"/>
    <mergeCell ref="BV9:BW9"/>
    <mergeCell ref="BX9:BY9"/>
    <mergeCell ref="BZ9:CA9"/>
    <mergeCell ref="CB9:CC9"/>
    <mergeCell ref="CD9:CE9"/>
    <mergeCell ref="BX6:BY6"/>
    <mergeCell ref="BZ6:CA6"/>
    <mergeCell ref="CB6:CC6"/>
    <mergeCell ref="CD6:CE6"/>
    <mergeCell ref="BT7:BU7"/>
    <mergeCell ref="BV7:BW7"/>
    <mergeCell ref="BX7:BY7"/>
    <mergeCell ref="BZ7:CA7"/>
    <mergeCell ref="CB7:CC7"/>
    <mergeCell ref="CD7:CE7"/>
    <mergeCell ref="BX4:BY4"/>
    <mergeCell ref="BZ4:CA4"/>
    <mergeCell ref="CB4:CC4"/>
    <mergeCell ref="CD4:CE4"/>
    <mergeCell ref="BT5:BU5"/>
    <mergeCell ref="BV5:BW5"/>
    <mergeCell ref="BX5:BY5"/>
    <mergeCell ref="BZ5:CA5"/>
    <mergeCell ref="CB5:CC5"/>
    <mergeCell ref="CD5:CE5"/>
    <mergeCell ref="N23:O23"/>
    <mergeCell ref="AE23:AF23"/>
    <mergeCell ref="AV23:AW23"/>
    <mergeCell ref="BM23:BN23"/>
    <mergeCell ref="BT4:BU4"/>
    <mergeCell ref="BV4:BW4"/>
    <mergeCell ref="BT6:BU6"/>
    <mergeCell ref="BV6:BW6"/>
    <mergeCell ref="BT8:BU8"/>
    <mergeCell ref="BV8:BW8"/>
    <mergeCell ref="BC22:BD22"/>
    <mergeCell ref="BE22:BF22"/>
    <mergeCell ref="BG22:BH22"/>
    <mergeCell ref="BI22:BJ22"/>
    <mergeCell ref="BK22:BL22"/>
    <mergeCell ref="BM22:BN22"/>
    <mergeCell ref="BC21:BD21"/>
    <mergeCell ref="BE21:BF21"/>
    <mergeCell ref="BG21:BH21"/>
    <mergeCell ref="BI21:BJ21"/>
    <mergeCell ref="BK21:BL21"/>
    <mergeCell ref="BM21:BN21"/>
    <mergeCell ref="BC20:BD20"/>
    <mergeCell ref="BE20:BF20"/>
    <mergeCell ref="BG20:BH20"/>
    <mergeCell ref="BI20:BJ20"/>
    <mergeCell ref="BK20:BL20"/>
    <mergeCell ref="BM20:BN20"/>
    <mergeCell ref="BC19:BD19"/>
    <mergeCell ref="BE19:BF19"/>
    <mergeCell ref="BG19:BH19"/>
    <mergeCell ref="BI19:BJ19"/>
    <mergeCell ref="BK19:BL19"/>
    <mergeCell ref="BM19:BN19"/>
    <mergeCell ref="BC18:BD18"/>
    <mergeCell ref="BE18:BF18"/>
    <mergeCell ref="BG18:BH18"/>
    <mergeCell ref="BI18:BJ18"/>
    <mergeCell ref="BK18:BL18"/>
    <mergeCell ref="BM18:BN18"/>
    <mergeCell ref="BC17:BD17"/>
    <mergeCell ref="BE17:BF17"/>
    <mergeCell ref="BG17:BH17"/>
    <mergeCell ref="BI17:BJ17"/>
    <mergeCell ref="BK17:BL17"/>
    <mergeCell ref="BM17:BN17"/>
    <mergeCell ref="BC11:BL11"/>
    <mergeCell ref="BM11:BN11"/>
    <mergeCell ref="BC16:BD16"/>
    <mergeCell ref="BE16:BF16"/>
    <mergeCell ref="BG16:BH16"/>
    <mergeCell ref="BI16:BJ16"/>
    <mergeCell ref="BK16:BL16"/>
    <mergeCell ref="BM16:BN16"/>
    <mergeCell ref="BC10:BD10"/>
    <mergeCell ref="BE10:BF10"/>
    <mergeCell ref="BG10:BH10"/>
    <mergeCell ref="BI10:BJ10"/>
    <mergeCell ref="BK10:BL10"/>
    <mergeCell ref="BM10:BN10"/>
    <mergeCell ref="BC9:BD9"/>
    <mergeCell ref="BE9:BF9"/>
    <mergeCell ref="BG9:BH9"/>
    <mergeCell ref="BI9:BJ9"/>
    <mergeCell ref="BK9:BL9"/>
    <mergeCell ref="BM9:BN9"/>
    <mergeCell ref="BC8:BD8"/>
    <mergeCell ref="BE8:BF8"/>
    <mergeCell ref="BG8:BH8"/>
    <mergeCell ref="BI8:BJ8"/>
    <mergeCell ref="BK8:BL8"/>
    <mergeCell ref="BM8:BN8"/>
    <mergeCell ref="BC7:BD7"/>
    <mergeCell ref="BE7:BF7"/>
    <mergeCell ref="BG7:BH7"/>
    <mergeCell ref="BI7:BJ7"/>
    <mergeCell ref="BK7:BL7"/>
    <mergeCell ref="BM7:BN7"/>
    <mergeCell ref="BC6:BD6"/>
    <mergeCell ref="BE6:BF6"/>
    <mergeCell ref="BG6:BH6"/>
    <mergeCell ref="BI6:BJ6"/>
    <mergeCell ref="BK6:BL6"/>
    <mergeCell ref="BM6:BN6"/>
    <mergeCell ref="BC5:BD5"/>
    <mergeCell ref="BE5:BF5"/>
    <mergeCell ref="BG5:BH5"/>
    <mergeCell ref="BI5:BJ5"/>
    <mergeCell ref="BK5:BL5"/>
    <mergeCell ref="BM5:BN5"/>
    <mergeCell ref="BC4:BD4"/>
    <mergeCell ref="BE4:BF4"/>
    <mergeCell ref="BG4:BH4"/>
    <mergeCell ref="BI4:BJ4"/>
    <mergeCell ref="BK4:BL4"/>
    <mergeCell ref="BM4:BN4"/>
    <mergeCell ref="AL22:AM22"/>
    <mergeCell ref="AN22:AO22"/>
    <mergeCell ref="AP22:AQ22"/>
    <mergeCell ref="AR22:AS22"/>
    <mergeCell ref="AT22:AU22"/>
    <mergeCell ref="AV22:AW22"/>
    <mergeCell ref="AL21:AM21"/>
    <mergeCell ref="AN21:AO21"/>
    <mergeCell ref="AP21:AQ21"/>
    <mergeCell ref="AR21:AS21"/>
    <mergeCell ref="AT21:AU21"/>
    <mergeCell ref="AV21:AW21"/>
    <mergeCell ref="AL20:AM20"/>
    <mergeCell ref="AN20:AO20"/>
    <mergeCell ref="AP20:AQ20"/>
    <mergeCell ref="AR20:AS20"/>
    <mergeCell ref="AT20:AU20"/>
    <mergeCell ref="AV20:AW20"/>
    <mergeCell ref="AL19:AM19"/>
    <mergeCell ref="AN19:AO19"/>
    <mergeCell ref="AP19:AQ19"/>
    <mergeCell ref="AR19:AS19"/>
    <mergeCell ref="AT19:AU19"/>
    <mergeCell ref="AV19:AW19"/>
    <mergeCell ref="AL18:AM18"/>
    <mergeCell ref="AN18:AO18"/>
    <mergeCell ref="AP18:AQ18"/>
    <mergeCell ref="AR18:AS18"/>
    <mergeCell ref="AT18:AU18"/>
    <mergeCell ref="AV18:AW18"/>
    <mergeCell ref="AL17:AM17"/>
    <mergeCell ref="AN17:AO17"/>
    <mergeCell ref="AP17:AQ17"/>
    <mergeCell ref="AR17:AS17"/>
    <mergeCell ref="AT17:AU17"/>
    <mergeCell ref="AV17:AW17"/>
    <mergeCell ref="AL11:AU11"/>
    <mergeCell ref="AV11:AW11"/>
    <mergeCell ref="AL16:AM16"/>
    <mergeCell ref="AN16:AO16"/>
    <mergeCell ref="AP16:AQ16"/>
    <mergeCell ref="AR16:AS16"/>
    <mergeCell ref="AT16:AU16"/>
    <mergeCell ref="AV16:AW16"/>
    <mergeCell ref="AL10:AM10"/>
    <mergeCell ref="AN10:AO10"/>
    <mergeCell ref="AP10:AQ10"/>
    <mergeCell ref="AR10:AS10"/>
    <mergeCell ref="AT10:AU10"/>
    <mergeCell ref="AV10:AW10"/>
    <mergeCell ref="AL9:AM9"/>
    <mergeCell ref="AN9:AO9"/>
    <mergeCell ref="AP9:AQ9"/>
    <mergeCell ref="AR9:AS9"/>
    <mergeCell ref="AT9:AU9"/>
    <mergeCell ref="AV9:AW9"/>
    <mergeCell ref="AL8:AM8"/>
    <mergeCell ref="AN8:AO8"/>
    <mergeCell ref="AP8:AQ8"/>
    <mergeCell ref="AR8:AS8"/>
    <mergeCell ref="AT8:AU8"/>
    <mergeCell ref="AV8:AW8"/>
    <mergeCell ref="AL7:AM7"/>
    <mergeCell ref="AN7:AO7"/>
    <mergeCell ref="AP7:AQ7"/>
    <mergeCell ref="AR7:AS7"/>
    <mergeCell ref="AT7:AU7"/>
    <mergeCell ref="AV7:AW7"/>
    <mergeCell ref="AL6:AM6"/>
    <mergeCell ref="AN6:AO6"/>
    <mergeCell ref="AP6:AQ6"/>
    <mergeCell ref="AR6:AS6"/>
    <mergeCell ref="AT6:AU6"/>
    <mergeCell ref="AV6:AW6"/>
    <mergeCell ref="AL5:AM5"/>
    <mergeCell ref="AN5:AO5"/>
    <mergeCell ref="AP5:AQ5"/>
    <mergeCell ref="AR5:AS5"/>
    <mergeCell ref="AT5:AU5"/>
    <mergeCell ref="AV5:AW5"/>
    <mergeCell ref="AL4:AM4"/>
    <mergeCell ref="AN4:AO4"/>
    <mergeCell ref="AP4:AQ4"/>
    <mergeCell ref="AR4:AS4"/>
    <mergeCell ref="AT4:AU4"/>
    <mergeCell ref="AV4:AW4"/>
    <mergeCell ref="U22:V22"/>
    <mergeCell ref="W22:X22"/>
    <mergeCell ref="Y22:Z22"/>
    <mergeCell ref="AA22:AB22"/>
    <mergeCell ref="AC22:AD22"/>
    <mergeCell ref="AE22:AF22"/>
    <mergeCell ref="U21:V21"/>
    <mergeCell ref="W21:X21"/>
    <mergeCell ref="Y21:Z21"/>
    <mergeCell ref="AA21:AB21"/>
    <mergeCell ref="AC21:AD21"/>
    <mergeCell ref="AE21:AF21"/>
    <mergeCell ref="U20:V20"/>
    <mergeCell ref="W20:X20"/>
    <mergeCell ref="Y20:Z20"/>
    <mergeCell ref="AA20:AB20"/>
    <mergeCell ref="AC20:AD20"/>
    <mergeCell ref="AE20:AF20"/>
    <mergeCell ref="U19:V19"/>
    <mergeCell ref="W19:X19"/>
    <mergeCell ref="Y19:Z19"/>
    <mergeCell ref="AA19:AB19"/>
    <mergeCell ref="AC19:AD19"/>
    <mergeCell ref="AE19:AF19"/>
    <mergeCell ref="U18:V18"/>
    <mergeCell ref="W18:X18"/>
    <mergeCell ref="Y18:Z18"/>
    <mergeCell ref="AA18:AB18"/>
    <mergeCell ref="AC18:AD18"/>
    <mergeCell ref="AE18:AF18"/>
    <mergeCell ref="U17:V17"/>
    <mergeCell ref="W17:X17"/>
    <mergeCell ref="Y17:Z17"/>
    <mergeCell ref="AA17:AB17"/>
    <mergeCell ref="AC17:AD17"/>
    <mergeCell ref="AE17:AF17"/>
    <mergeCell ref="U11:AD11"/>
    <mergeCell ref="AE11:AF11"/>
    <mergeCell ref="U16:V16"/>
    <mergeCell ref="W16:X16"/>
    <mergeCell ref="Y16:Z16"/>
    <mergeCell ref="AA16:AB16"/>
    <mergeCell ref="AC16:AD16"/>
    <mergeCell ref="AE16:AF16"/>
    <mergeCell ref="U10:V10"/>
    <mergeCell ref="W10:X10"/>
    <mergeCell ref="Y10:Z10"/>
    <mergeCell ref="AA10:AB10"/>
    <mergeCell ref="AC10:AD10"/>
    <mergeCell ref="AE10:AF10"/>
    <mergeCell ref="U9:V9"/>
    <mergeCell ref="W9:X9"/>
    <mergeCell ref="Y9:Z9"/>
    <mergeCell ref="AA9:AB9"/>
    <mergeCell ref="AC9:AD9"/>
    <mergeCell ref="AE9:AF9"/>
    <mergeCell ref="U8:V8"/>
    <mergeCell ref="W8:X8"/>
    <mergeCell ref="Y8:Z8"/>
    <mergeCell ref="AA8:AB8"/>
    <mergeCell ref="AC8:AD8"/>
    <mergeCell ref="AE8:AF8"/>
    <mergeCell ref="U7:V7"/>
    <mergeCell ref="W7:X7"/>
    <mergeCell ref="Y7:Z7"/>
    <mergeCell ref="AA7:AB7"/>
    <mergeCell ref="AC7:AD7"/>
    <mergeCell ref="AE7:AF7"/>
    <mergeCell ref="U6:V6"/>
    <mergeCell ref="W6:X6"/>
    <mergeCell ref="Y6:Z6"/>
    <mergeCell ref="AA6:AB6"/>
    <mergeCell ref="AC6:AD6"/>
    <mergeCell ref="AE6:AF6"/>
    <mergeCell ref="U5:V5"/>
    <mergeCell ref="W5:X5"/>
    <mergeCell ref="Y5:Z5"/>
    <mergeCell ref="AA5:AB5"/>
    <mergeCell ref="AC5:AD5"/>
    <mergeCell ref="AE5:AF5"/>
    <mergeCell ref="U4:V4"/>
    <mergeCell ref="W4:X4"/>
    <mergeCell ref="Y4:Z4"/>
    <mergeCell ref="AA4:AB4"/>
    <mergeCell ref="AC4:AD4"/>
    <mergeCell ref="AE4:AF4"/>
    <mergeCell ref="D22:E22"/>
    <mergeCell ref="F22:G22"/>
    <mergeCell ref="H22:I22"/>
    <mergeCell ref="J22:K22"/>
    <mergeCell ref="L22:M22"/>
    <mergeCell ref="N22:O22"/>
    <mergeCell ref="D21:E21"/>
    <mergeCell ref="F21:G21"/>
    <mergeCell ref="H21:I21"/>
    <mergeCell ref="J21:K21"/>
    <mergeCell ref="L21:M21"/>
    <mergeCell ref="N21:O21"/>
    <mergeCell ref="D20:E20"/>
    <mergeCell ref="F20:G20"/>
    <mergeCell ref="H20:I20"/>
    <mergeCell ref="J20:K20"/>
    <mergeCell ref="L20:M20"/>
    <mergeCell ref="N20:O20"/>
    <mergeCell ref="D19:E19"/>
    <mergeCell ref="F19:G19"/>
    <mergeCell ref="H19:I19"/>
    <mergeCell ref="J19:K19"/>
    <mergeCell ref="L19:M19"/>
    <mergeCell ref="N19:O19"/>
    <mergeCell ref="D18:E18"/>
    <mergeCell ref="F18:G18"/>
    <mergeCell ref="H18:I18"/>
    <mergeCell ref="J18:K18"/>
    <mergeCell ref="L18:M18"/>
    <mergeCell ref="N18:O18"/>
    <mergeCell ref="D17:E17"/>
    <mergeCell ref="F17:G17"/>
    <mergeCell ref="H17:I17"/>
    <mergeCell ref="J17:K17"/>
    <mergeCell ref="L17:M17"/>
    <mergeCell ref="N17:O17"/>
    <mergeCell ref="F16:G16"/>
    <mergeCell ref="H16:I16"/>
    <mergeCell ref="J16:K16"/>
    <mergeCell ref="L16:M16"/>
    <mergeCell ref="N16:O16"/>
    <mergeCell ref="D11:M11"/>
    <mergeCell ref="N11:O11"/>
    <mergeCell ref="D10:E10"/>
    <mergeCell ref="F10:G10"/>
    <mergeCell ref="H10:I10"/>
    <mergeCell ref="J10:K10"/>
    <mergeCell ref="L10:M10"/>
    <mergeCell ref="N10:O10"/>
    <mergeCell ref="D4:E4"/>
    <mergeCell ref="F4:G4"/>
    <mergeCell ref="H4:I4"/>
    <mergeCell ref="J4:K4"/>
    <mergeCell ref="L4:M4"/>
    <mergeCell ref="N4:O4"/>
    <mergeCell ref="D7:E7"/>
    <mergeCell ref="F7:G7"/>
    <mergeCell ref="H7:I7"/>
    <mergeCell ref="J7:K7"/>
    <mergeCell ref="L7:M7"/>
    <mergeCell ref="N7:O7"/>
    <mergeCell ref="D6:E6"/>
    <mergeCell ref="F6:G6"/>
    <mergeCell ref="H6:I6"/>
    <mergeCell ref="J6:K6"/>
    <mergeCell ref="L6:M6"/>
    <mergeCell ref="N6:O6"/>
    <mergeCell ref="A36:G36"/>
    <mergeCell ref="H36:I36"/>
    <mergeCell ref="A37:G37"/>
    <mergeCell ref="A47:G47"/>
    <mergeCell ref="R46:X46"/>
    <mergeCell ref="D5:E5"/>
    <mergeCell ref="F5:G5"/>
    <mergeCell ref="H5:I5"/>
    <mergeCell ref="J5:K5"/>
    <mergeCell ref="L5:M5"/>
    <mergeCell ref="N5:O5"/>
    <mergeCell ref="D9:E9"/>
    <mergeCell ref="F9:G9"/>
    <mergeCell ref="H9:I9"/>
    <mergeCell ref="J9:K9"/>
    <mergeCell ref="L9:M9"/>
    <mergeCell ref="N9:O9"/>
    <mergeCell ref="D8:E8"/>
    <mergeCell ref="F8:G8"/>
    <mergeCell ref="H8:I8"/>
    <mergeCell ref="J8:K8"/>
    <mergeCell ref="L8:M8"/>
    <mergeCell ref="N8:O8"/>
    <mergeCell ref="D16:E16"/>
    <mergeCell ref="A31:G31"/>
    <mergeCell ref="H31:I31"/>
    <mergeCell ref="A32:G32"/>
    <mergeCell ref="H32:I32"/>
    <mergeCell ref="A33:G33"/>
    <mergeCell ref="H33:I33"/>
    <mergeCell ref="A34:G34"/>
    <mergeCell ref="H34:I34"/>
    <mergeCell ref="A35:G35"/>
    <mergeCell ref="H35:I35"/>
    <mergeCell ref="A26:I26"/>
    <mergeCell ref="A27:G27"/>
    <mergeCell ref="H27:I27"/>
    <mergeCell ref="A28:G28"/>
    <mergeCell ref="H28:I28"/>
    <mergeCell ref="A29:G29"/>
    <mergeCell ref="H29:I29"/>
    <mergeCell ref="A30:G30"/>
    <mergeCell ref="H30:I30"/>
    <mergeCell ref="H37:I37"/>
    <mergeCell ref="A38:G38"/>
    <mergeCell ref="H38:I38"/>
    <mergeCell ref="A40:I40"/>
    <mergeCell ref="A43:I43"/>
    <mergeCell ref="A44:G45"/>
    <mergeCell ref="H44:I45"/>
    <mergeCell ref="A46:G46"/>
    <mergeCell ref="H46:I46"/>
    <mergeCell ref="H47:I47"/>
    <mergeCell ref="A48:G48"/>
    <mergeCell ref="H48:I48"/>
    <mergeCell ref="A49:G49"/>
    <mergeCell ref="H49:I49"/>
    <mergeCell ref="A50:G50"/>
    <mergeCell ref="H50:I50"/>
    <mergeCell ref="A51:G51"/>
    <mergeCell ref="H51:I51"/>
    <mergeCell ref="R26:Z26"/>
    <mergeCell ref="R27:X27"/>
    <mergeCell ref="Y27:Z27"/>
    <mergeCell ref="R28:X28"/>
    <mergeCell ref="Y28:Z28"/>
    <mergeCell ref="R29:X29"/>
    <mergeCell ref="Y29:Z29"/>
    <mergeCell ref="R30:X30"/>
    <mergeCell ref="Y30:Z30"/>
    <mergeCell ref="R31:X31"/>
    <mergeCell ref="Y31:Z31"/>
    <mergeCell ref="R32:X32"/>
    <mergeCell ref="Y32:Z32"/>
    <mergeCell ref="R33:X33"/>
    <mergeCell ref="Y33:Z33"/>
    <mergeCell ref="R34:X34"/>
    <mergeCell ref="Y34:Z34"/>
    <mergeCell ref="R35:X35"/>
    <mergeCell ref="Y35:Z35"/>
    <mergeCell ref="R36:X36"/>
    <mergeCell ref="Y36:Z36"/>
    <mergeCell ref="R37:X37"/>
    <mergeCell ref="Y37:Z37"/>
    <mergeCell ref="R38:X38"/>
    <mergeCell ref="Y38:Z38"/>
    <mergeCell ref="R40:Z40"/>
    <mergeCell ref="R43:Z43"/>
    <mergeCell ref="R44:X45"/>
    <mergeCell ref="Y44:Z45"/>
    <mergeCell ref="Y46:Z46"/>
    <mergeCell ref="R47:X47"/>
    <mergeCell ref="Y47:Z47"/>
    <mergeCell ref="R48:X48"/>
    <mergeCell ref="Y48:Z48"/>
    <mergeCell ref="R49:X49"/>
    <mergeCell ref="Y49:Z49"/>
    <mergeCell ref="R50:X50"/>
    <mergeCell ref="Y50:Z50"/>
    <mergeCell ref="R51:X51"/>
    <mergeCell ref="Y51:Z51"/>
    <mergeCell ref="AI26:AQ26"/>
    <mergeCell ref="AI27:AO27"/>
    <mergeCell ref="AP27:AQ27"/>
    <mergeCell ref="AI28:AO28"/>
    <mergeCell ref="AP28:AQ28"/>
    <mergeCell ref="AI29:AO29"/>
    <mergeCell ref="AP29:AQ29"/>
    <mergeCell ref="AI30:AO30"/>
    <mergeCell ref="AP30:AQ30"/>
    <mergeCell ref="AI31:AO31"/>
    <mergeCell ref="AP31:AQ31"/>
    <mergeCell ref="AI32:AO32"/>
    <mergeCell ref="AP32:AQ32"/>
    <mergeCell ref="AI33:AO33"/>
    <mergeCell ref="AP33:AQ33"/>
    <mergeCell ref="AI34:AO34"/>
    <mergeCell ref="AP34:AQ34"/>
    <mergeCell ref="AI35:AO35"/>
    <mergeCell ref="AP35:AQ35"/>
    <mergeCell ref="AI36:AO36"/>
    <mergeCell ref="AP36:AQ36"/>
    <mergeCell ref="AI37:AO37"/>
    <mergeCell ref="AP37:AQ37"/>
    <mergeCell ref="AI38:AO38"/>
    <mergeCell ref="AP38:AQ38"/>
    <mergeCell ref="AI40:AQ40"/>
    <mergeCell ref="AI43:AQ43"/>
    <mergeCell ref="AI44:AO45"/>
    <mergeCell ref="AP44:AQ45"/>
    <mergeCell ref="AI46:AO46"/>
    <mergeCell ref="AP46:AQ46"/>
    <mergeCell ref="AI47:AO47"/>
    <mergeCell ref="AP47:AQ47"/>
    <mergeCell ref="AI48:AO48"/>
    <mergeCell ref="AP48:AQ48"/>
    <mergeCell ref="AI49:AO49"/>
    <mergeCell ref="AP49:AQ49"/>
    <mergeCell ref="AI50:AO50"/>
    <mergeCell ref="AP50:AQ50"/>
    <mergeCell ref="AI51:AO51"/>
    <mergeCell ref="AP51:AQ51"/>
    <mergeCell ref="AZ26:BH26"/>
    <mergeCell ref="AZ27:BF27"/>
    <mergeCell ref="BG27:BH27"/>
    <mergeCell ref="AZ28:BF28"/>
    <mergeCell ref="BG28:BH28"/>
    <mergeCell ref="AZ29:BF29"/>
    <mergeCell ref="BG29:BH29"/>
    <mergeCell ref="AZ30:BF30"/>
    <mergeCell ref="BG30:BH30"/>
    <mergeCell ref="AZ31:BF31"/>
    <mergeCell ref="BG31:BH31"/>
    <mergeCell ref="AZ32:BF32"/>
    <mergeCell ref="BG32:BH32"/>
    <mergeCell ref="AZ33:BF33"/>
    <mergeCell ref="BG33:BH33"/>
    <mergeCell ref="AZ34:BF34"/>
    <mergeCell ref="BG34:BH34"/>
    <mergeCell ref="AZ35:BF35"/>
    <mergeCell ref="BG35:BH35"/>
    <mergeCell ref="AZ36:BF36"/>
    <mergeCell ref="BG36:BH36"/>
    <mergeCell ref="AZ37:BF37"/>
    <mergeCell ref="BG37:BH37"/>
    <mergeCell ref="AZ38:BF38"/>
    <mergeCell ref="BG38:BH38"/>
    <mergeCell ref="AZ40:BH40"/>
    <mergeCell ref="AZ43:BH43"/>
    <mergeCell ref="AZ44:BF45"/>
    <mergeCell ref="BG44:BH45"/>
    <mergeCell ref="AZ46:BF46"/>
    <mergeCell ref="BG46:BH46"/>
    <mergeCell ref="AZ47:BF47"/>
    <mergeCell ref="BG47:BH47"/>
    <mergeCell ref="AZ48:BF48"/>
    <mergeCell ref="BG48:BH48"/>
    <mergeCell ref="AZ49:BF49"/>
    <mergeCell ref="BG49:BH49"/>
    <mergeCell ref="AZ50:BF50"/>
    <mergeCell ref="BG50:BH50"/>
    <mergeCell ref="AZ51:BF51"/>
    <mergeCell ref="BG51:BH51"/>
    <mergeCell ref="BQ26:BY26"/>
    <mergeCell ref="BQ27:BW27"/>
    <mergeCell ref="BX27:BY27"/>
    <mergeCell ref="BQ28:BW28"/>
    <mergeCell ref="BX28:BY28"/>
    <mergeCell ref="BQ29:BW29"/>
    <mergeCell ref="BX29:BY29"/>
    <mergeCell ref="BQ30:BW30"/>
    <mergeCell ref="BX30:BY30"/>
    <mergeCell ref="BQ31:BW31"/>
    <mergeCell ref="BX31:BY31"/>
    <mergeCell ref="BQ32:BW32"/>
    <mergeCell ref="BX32:BY32"/>
    <mergeCell ref="BQ33:BW33"/>
    <mergeCell ref="BX33:BY33"/>
    <mergeCell ref="BQ34:BW34"/>
    <mergeCell ref="BX34:BY34"/>
    <mergeCell ref="BQ35:BW35"/>
    <mergeCell ref="BX35:BY35"/>
    <mergeCell ref="BQ36:BW36"/>
    <mergeCell ref="BX36:BY36"/>
    <mergeCell ref="BQ37:BW37"/>
    <mergeCell ref="BX37:BY37"/>
    <mergeCell ref="BQ38:BW38"/>
    <mergeCell ref="BX38:BY38"/>
    <mergeCell ref="BQ40:BY40"/>
    <mergeCell ref="BQ43:BY43"/>
    <mergeCell ref="BQ44:BW45"/>
    <mergeCell ref="BX44:BY45"/>
    <mergeCell ref="BQ46:BW46"/>
    <mergeCell ref="BX46:BY46"/>
    <mergeCell ref="BQ47:BW47"/>
    <mergeCell ref="BX47:BY47"/>
    <mergeCell ref="BQ48:BW48"/>
    <mergeCell ref="BX48:BY48"/>
    <mergeCell ref="BQ49:BW49"/>
    <mergeCell ref="BX49:BY49"/>
    <mergeCell ref="BQ50:BW50"/>
    <mergeCell ref="BX50:BY50"/>
    <mergeCell ref="BQ51:BW51"/>
    <mergeCell ref="BX51:BY51"/>
    <mergeCell ref="CH26:CP26"/>
    <mergeCell ref="CH27:CN27"/>
    <mergeCell ref="CO27:CP27"/>
    <mergeCell ref="CH28:CN28"/>
    <mergeCell ref="CO28:CP28"/>
    <mergeCell ref="CH29:CN29"/>
    <mergeCell ref="CO29:CP29"/>
    <mergeCell ref="CH30:CN30"/>
    <mergeCell ref="CO30:CP30"/>
    <mergeCell ref="CH31:CN31"/>
    <mergeCell ref="CO31:CP31"/>
    <mergeCell ref="CH32:CN32"/>
    <mergeCell ref="CO32:CP32"/>
    <mergeCell ref="CH33:CN33"/>
    <mergeCell ref="CO33:CP33"/>
    <mergeCell ref="CH34:CN34"/>
    <mergeCell ref="CO34:CP34"/>
    <mergeCell ref="CH35:CN35"/>
    <mergeCell ref="CO35:CP35"/>
    <mergeCell ref="CH36:CN36"/>
    <mergeCell ref="CO36:CP36"/>
    <mergeCell ref="CH37:CN37"/>
    <mergeCell ref="CO37:CP37"/>
    <mergeCell ref="CH38:CN38"/>
    <mergeCell ref="CO38:CP38"/>
    <mergeCell ref="CH40:CP40"/>
    <mergeCell ref="CH43:CP43"/>
    <mergeCell ref="CH44:CN45"/>
    <mergeCell ref="CO44:CP45"/>
    <mergeCell ref="CH51:CN51"/>
    <mergeCell ref="CO51:CP51"/>
    <mergeCell ref="CH46:CN46"/>
    <mergeCell ref="CO46:CP46"/>
    <mergeCell ref="CH47:CN47"/>
    <mergeCell ref="CO47:CP47"/>
    <mergeCell ref="CH48:CN48"/>
    <mergeCell ref="CO48:CP48"/>
    <mergeCell ref="CH49:CN49"/>
    <mergeCell ref="CO49:CP49"/>
    <mergeCell ref="CH50:CN50"/>
    <mergeCell ref="CO50:CP50"/>
  </mergeCells>
  <dataValidations count="2">
    <dataValidation type="custom" allowBlank="1" showInputMessage="1" showErrorMessage="1" errorTitle="Validation des données" error="L'heure de début PM doit être supéreieure à 12:00" sqref="J16:K22 J4:K10 AA16:AB22 AA4:AB10 AR16:AS22 AR4:AS10 BI16:BJ22 BI4:BJ10 BZ16:CA22 BZ4:CA10 CQ16:CR22 CQ4:CR10" xr:uid="{00000000-0002-0000-0100-000000000000}">
      <formula1>IF(J4&lt;0.5,FALSE,TRUE)</formula1>
    </dataValidation>
    <dataValidation type="custom" allowBlank="1" showInputMessage="1" showErrorMessage="1" errorTitle="Saisie des heures" error="Heure de Fin &lt; Heure de Début_x000a_Merci de corriger" sqref="H16:I22 L16:M22 H4:I10 L4:M10 Y16:Z22 AC16:AD22 Y4:Z10 AC4:AD10 AP16:AQ22 AT16:AU22 AP4:AQ10 AT4:AU10 BG16:BH22 BK16:BL22 BG4:BH10 BK4:BL10 BX16:BY22 CB16:CC22 BX4:BY10 CB4:CC10 CO16:CP22 CS16:CT22 CO4:CP10 CS4:CT10" xr:uid="{00000000-0002-0000-0100-000001000000}">
      <formula1>IF(H4&lt;F4,FALSE,TRUE)</formula1>
    </dataValidation>
  </dataValidations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0028A577-F151-4721-AA32-B15C0AF70D82}">
            <xm:f>IF($AS$25&gt;Datas!$C$9,TRUE,FALSE)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H46:I46</xm:sqref>
        </x14:conditionalFormatting>
        <x14:conditionalFormatting xmlns:xm="http://schemas.microsoft.com/office/excel/2006/main">
          <x14:cfRule type="expression" priority="11" id="{45A22A74-3266-4465-A630-A377530401CA}">
            <xm:f>IF($AS$25&gt;Datas!$C$9,TRUE,FALSE)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H51:I51</xm:sqref>
        </x14:conditionalFormatting>
        <x14:conditionalFormatting xmlns:xm="http://schemas.microsoft.com/office/excel/2006/main">
          <x14:cfRule type="expression" priority="10" id="{424A0E31-960B-40C0-B188-0726531658B9}">
            <xm:f>IF($AS$25&gt;Datas!$C$9,TRUE,FALSE)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Y46:Z46</xm:sqref>
        </x14:conditionalFormatting>
        <x14:conditionalFormatting xmlns:xm="http://schemas.microsoft.com/office/excel/2006/main">
          <x14:cfRule type="expression" priority="9" id="{1BE29C73-A8E3-4C97-9375-3F99FAC8890B}">
            <xm:f>IF($AS$25&gt;Datas!$C$9,TRUE,FALSE)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Y51:Z51</xm:sqref>
        </x14:conditionalFormatting>
        <x14:conditionalFormatting xmlns:xm="http://schemas.microsoft.com/office/excel/2006/main">
          <x14:cfRule type="expression" priority="8" id="{240C6656-CBD6-45AF-B843-21B3D355852E}">
            <xm:f>IF($AS$25&gt;Datas!$C$9,TRUE,FALSE)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AP46:AQ46</xm:sqref>
        </x14:conditionalFormatting>
        <x14:conditionalFormatting xmlns:xm="http://schemas.microsoft.com/office/excel/2006/main">
          <x14:cfRule type="expression" priority="7" id="{67B8EB82-D90E-42AD-91EF-959CDB39A51B}">
            <xm:f>IF($AS$25&gt;Datas!$C$9,TRUE,FALSE)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AP51:AQ51</xm:sqref>
        </x14:conditionalFormatting>
        <x14:conditionalFormatting xmlns:xm="http://schemas.microsoft.com/office/excel/2006/main">
          <x14:cfRule type="expression" priority="6" id="{4D5691A7-27A2-46BD-ACCC-973BFE1DDE3D}">
            <xm:f>IF($AS$25&gt;Datas!$C$9,TRUE,FALSE)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BG46:BH46</xm:sqref>
        </x14:conditionalFormatting>
        <x14:conditionalFormatting xmlns:xm="http://schemas.microsoft.com/office/excel/2006/main">
          <x14:cfRule type="expression" priority="5" id="{3FB108EE-1A83-40AA-ADF2-06D97B36DB84}">
            <xm:f>IF($AS$25&gt;Datas!$C$9,TRUE,FALSE)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BG51:BH51</xm:sqref>
        </x14:conditionalFormatting>
        <x14:conditionalFormatting xmlns:xm="http://schemas.microsoft.com/office/excel/2006/main">
          <x14:cfRule type="expression" priority="4" id="{A4F08E79-C70A-4659-99B6-3E4D5B44F866}">
            <xm:f>IF($AS$25&gt;Datas!$C$9,TRUE,FALSE)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BX46:BY46</xm:sqref>
        </x14:conditionalFormatting>
        <x14:conditionalFormatting xmlns:xm="http://schemas.microsoft.com/office/excel/2006/main">
          <x14:cfRule type="expression" priority="3" id="{61C9F748-DFFF-4E15-91A3-636380267659}">
            <xm:f>IF($AS$25&gt;Datas!$C$9,TRUE,FALSE)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BX51:BY51</xm:sqref>
        </x14:conditionalFormatting>
        <x14:conditionalFormatting xmlns:xm="http://schemas.microsoft.com/office/excel/2006/main">
          <x14:cfRule type="expression" priority="2" id="{1ADD9A9E-C416-4235-B4AC-F00B38449912}">
            <xm:f>IF($AS$25&gt;Datas!$C$9,TRUE,FALSE)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CO46:CP46</xm:sqref>
        </x14:conditionalFormatting>
        <x14:conditionalFormatting xmlns:xm="http://schemas.microsoft.com/office/excel/2006/main">
          <x14:cfRule type="expression" priority="1" id="{B5C73840-581C-4C3A-AD46-7A79616DDF4B}">
            <xm:f>IF($AS$25&gt;Datas!$C$9,TRUE,FALSE)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CO51:CP51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2000000}">
          <x14:formula1>
            <xm:f>Datas!$B$12:$B$17</xm:f>
          </x14:formula1>
          <xm:sqref>D4:E10 U4:V10 AL4:AM10 BC4:BD10 BT4:BU10 CK4:CL10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8" tint="-0.249977111117893"/>
    <pageSetUpPr fitToPage="1"/>
  </sheetPr>
  <dimension ref="A1:BN47"/>
  <sheetViews>
    <sheetView showGridLines="0" showRowColHeaders="0" zoomScale="144" zoomScaleNormal="144" zoomScaleSheetLayoutView="157" workbookViewId="0">
      <selection activeCell="H7" sqref="H7:L7"/>
    </sheetView>
  </sheetViews>
  <sheetFormatPr baseColWidth="10" defaultColWidth="2.88671875" defaultRowHeight="12" customHeight="1" x14ac:dyDescent="0.25"/>
  <cols>
    <col min="1" max="1" width="2.109375" style="1" customWidth="1"/>
    <col min="2" max="4" width="2.88671875" style="1" customWidth="1"/>
    <col min="5" max="5" width="3" style="2" customWidth="1"/>
    <col min="6" max="9" width="2.88671875" style="2" customWidth="1"/>
    <col min="10" max="36" width="2.88671875" style="1" customWidth="1"/>
    <col min="37" max="46" width="2.88671875" style="4" customWidth="1"/>
    <col min="47" max="16384" width="2.88671875" style="4"/>
  </cols>
  <sheetData>
    <row r="1" spans="1:66" ht="39.75" customHeight="1" x14ac:dyDescent="0.25">
      <c r="A1" s="193" t="s">
        <v>51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  <c r="AJ1" s="193"/>
      <c r="AK1" s="193"/>
      <c r="AL1" s="193"/>
      <c r="AM1" s="193"/>
      <c r="AN1" s="193"/>
      <c r="AO1" s="193"/>
      <c r="AP1" s="193"/>
      <c r="AQ1" s="193"/>
      <c r="AR1" s="193"/>
      <c r="AS1" s="193"/>
      <c r="AT1" s="193"/>
    </row>
    <row r="2" spans="1:66" ht="9.9" customHeight="1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</row>
    <row r="3" spans="1:66" ht="24.9" customHeight="1" x14ac:dyDescent="0.25">
      <c r="A3" s="6" t="s">
        <v>29</v>
      </c>
      <c r="B3" s="6"/>
      <c r="C3" s="6"/>
      <c r="D3" s="6"/>
      <c r="E3" s="6"/>
      <c r="F3" s="6"/>
      <c r="G3" s="6"/>
      <c r="H3" s="392">
        <f>+Date_Deb</f>
        <v>46048</v>
      </c>
      <c r="I3" s="392"/>
      <c r="J3" s="392"/>
      <c r="K3" s="392"/>
      <c r="L3" s="392"/>
      <c r="M3" s="392"/>
      <c r="N3" s="392"/>
      <c r="O3" s="392"/>
      <c r="P3" s="392"/>
      <c r="Q3" s="392"/>
      <c r="R3" s="392"/>
      <c r="S3" s="392"/>
      <c r="T3" s="392"/>
      <c r="U3" s="392"/>
      <c r="V3" s="196" t="s">
        <v>30</v>
      </c>
      <c r="W3" s="196"/>
      <c r="X3" s="6"/>
      <c r="Y3" s="392">
        <f>+Date_Fin</f>
        <v>46054</v>
      </c>
      <c r="Z3" s="392"/>
      <c r="AA3" s="392"/>
      <c r="AB3" s="392"/>
      <c r="AC3" s="392"/>
      <c r="AD3" s="392"/>
      <c r="AE3" s="392"/>
      <c r="AF3" s="392"/>
      <c r="AG3" s="392"/>
      <c r="AH3" s="392"/>
      <c r="AI3" s="392"/>
      <c r="AJ3" s="392"/>
      <c r="AK3" s="392"/>
      <c r="AL3" s="392"/>
      <c r="AN3" s="202" t="s">
        <v>31</v>
      </c>
      <c r="AO3" s="202"/>
      <c r="AP3" s="202"/>
      <c r="AQ3" s="202"/>
      <c r="AR3" s="202"/>
      <c r="AS3" s="393">
        <f>+NumSemaine</f>
        <v>5</v>
      </c>
      <c r="AT3" s="393"/>
    </row>
    <row r="4" spans="1:66" ht="24.9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4"/>
      <c r="Z4" s="6"/>
      <c r="AA4" s="6"/>
      <c r="AB4" s="6"/>
      <c r="AC4" s="6"/>
      <c r="AD4" s="6"/>
      <c r="AE4" s="6"/>
      <c r="AF4" s="6"/>
      <c r="AG4" s="6"/>
      <c r="AH4" s="6"/>
      <c r="AI4" s="4"/>
      <c r="AJ4" s="4"/>
    </row>
    <row r="5" spans="1:66" ht="12.75" customHeight="1" x14ac:dyDescent="0.25">
      <c r="A5" s="402" t="s">
        <v>33</v>
      </c>
      <c r="B5" s="275" t="s">
        <v>75</v>
      </c>
      <c r="C5" s="351" t="s">
        <v>62</v>
      </c>
      <c r="D5" s="352"/>
      <c r="E5" s="352"/>
      <c r="F5" s="352"/>
      <c r="G5" s="352"/>
      <c r="H5" s="352"/>
      <c r="I5" s="352"/>
      <c r="J5" s="352"/>
      <c r="K5" s="352"/>
      <c r="L5" s="352"/>
      <c r="M5" s="352"/>
      <c r="N5" s="352"/>
      <c r="O5" s="352"/>
      <c r="P5" s="352"/>
      <c r="Q5" s="352"/>
      <c r="R5" s="352"/>
      <c r="S5" s="352"/>
      <c r="T5" s="352"/>
      <c r="U5" s="352"/>
      <c r="V5" s="352"/>
      <c r="W5" s="352"/>
      <c r="X5" s="352"/>
      <c r="Y5" s="352"/>
      <c r="Z5" s="352"/>
      <c r="AA5" s="352"/>
      <c r="AB5" s="352"/>
      <c r="AD5" s="353" t="s">
        <v>41</v>
      </c>
      <c r="AE5" s="354"/>
      <c r="AF5" s="354"/>
      <c r="AG5" s="354"/>
      <c r="AH5" s="354"/>
      <c r="AI5" s="354"/>
      <c r="AJ5" s="354"/>
      <c r="AK5" s="354"/>
      <c r="AL5" s="354"/>
      <c r="AM5" s="354"/>
      <c r="AN5" s="354"/>
      <c r="AO5" s="354"/>
      <c r="AP5" s="354"/>
      <c r="AQ5" s="354"/>
      <c r="AR5" s="354"/>
      <c r="AS5" s="354"/>
      <c r="AT5" s="355"/>
    </row>
    <row r="6" spans="1:66" s="5" customFormat="1" ht="24.9" customHeight="1" x14ac:dyDescent="0.25">
      <c r="A6" s="403"/>
      <c r="B6" s="276"/>
      <c r="C6" s="383" t="s">
        <v>52</v>
      </c>
      <c r="D6" s="384"/>
      <c r="E6" s="385"/>
      <c r="F6" s="404" t="s">
        <v>18</v>
      </c>
      <c r="G6" s="405"/>
      <c r="H6" s="383" t="s">
        <v>37</v>
      </c>
      <c r="I6" s="384"/>
      <c r="J6" s="384"/>
      <c r="K6" s="384"/>
      <c r="L6" s="385"/>
      <c r="M6" s="406" t="s">
        <v>0</v>
      </c>
      <c r="N6" s="397"/>
      <c r="O6" s="397" t="s">
        <v>1</v>
      </c>
      <c r="P6" s="397"/>
      <c r="Q6" s="406" t="s">
        <v>2</v>
      </c>
      <c r="R6" s="397"/>
      <c r="S6" s="397" t="s">
        <v>3</v>
      </c>
      <c r="T6" s="397"/>
      <c r="U6" s="398" t="s">
        <v>46</v>
      </c>
      <c r="V6" s="399"/>
      <c r="W6" s="400" t="s">
        <v>57</v>
      </c>
      <c r="X6" s="400"/>
      <c r="Y6" s="400" t="s">
        <v>58</v>
      </c>
      <c r="Z6" s="401"/>
      <c r="AA6" s="375" t="s">
        <v>34</v>
      </c>
      <c r="AB6" s="375"/>
      <c r="AD6" s="356"/>
      <c r="AE6" s="357"/>
      <c r="AF6" s="357"/>
      <c r="AG6" s="357"/>
      <c r="AH6" s="357"/>
      <c r="AI6" s="357"/>
      <c r="AJ6" s="357"/>
      <c r="AK6" s="357"/>
      <c r="AL6" s="357"/>
      <c r="AM6" s="357"/>
      <c r="AN6" s="357"/>
      <c r="AO6" s="357"/>
      <c r="AP6" s="357"/>
      <c r="AQ6" s="357"/>
      <c r="AR6" s="357"/>
      <c r="AS6" s="357"/>
      <c r="AT6" s="358"/>
      <c r="AU6" s="4"/>
      <c r="AY6" s="4"/>
      <c r="BK6" s="4"/>
      <c r="BL6" s="4"/>
      <c r="BM6" s="4"/>
      <c r="BN6" s="4"/>
    </row>
    <row r="7" spans="1:66" ht="11.1" customHeight="1" x14ac:dyDescent="0.25">
      <c r="A7" s="403"/>
      <c r="B7" s="276"/>
      <c r="C7" s="46" t="s">
        <v>4</v>
      </c>
      <c r="D7" s="38"/>
      <c r="E7" s="39"/>
      <c r="F7" s="390">
        <f>+'FT-TIS'!F7</f>
        <v>0</v>
      </c>
      <c r="G7" s="391"/>
      <c r="H7" s="367" t="s">
        <v>21</v>
      </c>
      <c r="I7" s="368"/>
      <c r="J7" s="368"/>
      <c r="K7" s="368"/>
      <c r="L7" s="369"/>
      <c r="M7" s="336"/>
      <c r="N7" s="337"/>
      <c r="O7" s="337"/>
      <c r="P7" s="338"/>
      <c r="Q7" s="336"/>
      <c r="R7" s="337"/>
      <c r="S7" s="337"/>
      <c r="T7" s="337"/>
      <c r="U7" s="169">
        <f>+IF(OR(AND(M7&lt;&gt;"",O7&lt;&gt;""),AND(Q7&lt;&gt;"",S7&lt;&gt;"")),((O7-M7)+(S7-Q7))*24,0)</f>
        <v>0</v>
      </c>
      <c r="V7" s="170"/>
      <c r="W7" s="339">
        <f>+IF(OR(F7=Datas!$B$12,U7=0),0,IF(AND(M7&lt;Datas!$B$20,M7&lt;&gt;""),(MIN(Astreinte!O7,Datas!$B$20)-Astreinte!M7)*24,0)+IF(AND(S7&gt;Datas!$B$21,S7&lt;&gt;""),(S7-MAX(Astreinte!Q7,Datas!$B$21))*24,0))</f>
        <v>0</v>
      </c>
      <c r="X7" s="339"/>
      <c r="Y7" s="339">
        <f>IF(F7=Datas!$B$12,Astreinte!U7,0)</f>
        <v>0</v>
      </c>
      <c r="Z7" s="340"/>
      <c r="AA7" s="370">
        <f>IF(H7=Datas!$B$30,IF(F7=Datas!$B$12,Datas!$B$28,Datas!$B$25),IF(H7=Datas!$B$31,IF(F7=Datas!$B$12,Datas!$C$28,Datas!$C$25),0))</f>
        <v>0</v>
      </c>
      <c r="AB7" s="370"/>
      <c r="AD7" s="229"/>
      <c r="AE7" s="230"/>
      <c r="AF7" s="230"/>
      <c r="AG7" s="230"/>
      <c r="AH7" s="230"/>
      <c r="AI7" s="230"/>
      <c r="AJ7" s="230"/>
      <c r="AK7" s="230"/>
      <c r="AL7" s="230"/>
      <c r="AM7" s="230"/>
      <c r="AN7" s="230"/>
      <c r="AO7" s="230"/>
      <c r="AP7" s="230"/>
      <c r="AQ7" s="230"/>
      <c r="AR7" s="230"/>
      <c r="AS7" s="230"/>
      <c r="AT7" s="231"/>
    </row>
    <row r="8" spans="1:66" ht="11.1" customHeight="1" x14ac:dyDescent="0.25">
      <c r="A8" s="403"/>
      <c r="B8" s="276"/>
      <c r="C8" s="47" t="s">
        <v>5</v>
      </c>
      <c r="D8" s="40"/>
      <c r="E8" s="41"/>
      <c r="F8" s="388">
        <f>+'FT-TIS'!F8</f>
        <v>0</v>
      </c>
      <c r="G8" s="389"/>
      <c r="H8" s="360" t="s">
        <v>21</v>
      </c>
      <c r="I8" s="361"/>
      <c r="J8" s="361"/>
      <c r="K8" s="361"/>
      <c r="L8" s="362"/>
      <c r="M8" s="309"/>
      <c r="N8" s="307"/>
      <c r="O8" s="307"/>
      <c r="P8" s="308"/>
      <c r="Q8" s="309"/>
      <c r="R8" s="307"/>
      <c r="S8" s="307"/>
      <c r="T8" s="307"/>
      <c r="U8" s="161">
        <f t="shared" ref="U8:U13" si="0">+IF(OR(AND(M8&lt;&gt;"",O8&lt;&gt;""),AND(Q8&lt;&gt;"",S8&lt;&gt;"")),((O8-M8)+(S8-Q8))*24,0)</f>
        <v>0</v>
      </c>
      <c r="V8" s="162"/>
      <c r="W8" s="334">
        <f>+IF(OR(F8=Datas!$B$12,U8=0),0,IF(AND(M8&lt;Datas!$B$20,M8&lt;&gt;""),(MIN(Astreinte!O8,Datas!$B$20)-Astreinte!M8)*24,0)+IF(AND(S8&gt;Datas!$B$21,S8&lt;&gt;""),(S8-MAX(Astreinte!Q8,Datas!$B$21))*24,0))</f>
        <v>0</v>
      </c>
      <c r="X8" s="334"/>
      <c r="Y8" s="334">
        <f>IF(F8=Datas!$B$12,Astreinte!U8,0)</f>
        <v>0</v>
      </c>
      <c r="Z8" s="335"/>
      <c r="AA8" s="363">
        <f>IF(H8=Datas!$B$30,IF(F8=Datas!$B$12,Datas!$B$28,Datas!$B$25),IF(H8=Datas!$B$31,IF(F8=Datas!$B$12,Datas!$C$28,Datas!$C$25),0))</f>
        <v>0</v>
      </c>
      <c r="AB8" s="363"/>
      <c r="AD8" s="214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6"/>
    </row>
    <row r="9" spans="1:66" ht="11.1" customHeight="1" x14ac:dyDescent="0.25">
      <c r="A9" s="403"/>
      <c r="B9" s="276"/>
      <c r="C9" s="47" t="s">
        <v>6</v>
      </c>
      <c r="D9" s="40"/>
      <c r="E9" s="41"/>
      <c r="F9" s="388">
        <f>+'FT-TIS'!F9</f>
        <v>0</v>
      </c>
      <c r="G9" s="389"/>
      <c r="H9" s="360" t="s">
        <v>21</v>
      </c>
      <c r="I9" s="361"/>
      <c r="J9" s="361"/>
      <c r="K9" s="361"/>
      <c r="L9" s="362"/>
      <c r="M9" s="309"/>
      <c r="N9" s="307"/>
      <c r="O9" s="307"/>
      <c r="P9" s="308"/>
      <c r="Q9" s="309"/>
      <c r="R9" s="307"/>
      <c r="S9" s="307"/>
      <c r="T9" s="307"/>
      <c r="U9" s="161">
        <f t="shared" si="0"/>
        <v>0</v>
      </c>
      <c r="V9" s="162"/>
      <c r="W9" s="334">
        <f>+IF(OR(F9=Datas!$B$12,U9=0),0,IF(AND(M9&lt;Datas!$B$20,M9&lt;&gt;""),(MIN(Astreinte!O9,Datas!$B$20)-Astreinte!M9)*24,0)+IF(AND(S9&gt;Datas!$B$21,S9&lt;&gt;""),(S9-MAX(Astreinte!Q9,Datas!$B$21))*24,0))</f>
        <v>0</v>
      </c>
      <c r="X9" s="334"/>
      <c r="Y9" s="334">
        <f>IF(F9=Datas!$B$12,Astreinte!U9,0)</f>
        <v>0</v>
      </c>
      <c r="Z9" s="335"/>
      <c r="AA9" s="363">
        <f>IF(H9=Datas!$B$30,IF(F9=Datas!$B$12,Datas!$B$28,Datas!$B$25),IF(H9=Datas!$B$31,IF(F9=Datas!$B$12,Datas!$C$28,Datas!$C$25),0))</f>
        <v>0</v>
      </c>
      <c r="AB9" s="363"/>
      <c r="AD9" s="214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6"/>
    </row>
    <row r="10" spans="1:66" ht="11.1" customHeight="1" x14ac:dyDescent="0.25">
      <c r="A10" s="403"/>
      <c r="B10" s="276"/>
      <c r="C10" s="47" t="s">
        <v>7</v>
      </c>
      <c r="D10" s="40"/>
      <c r="E10" s="41"/>
      <c r="F10" s="388">
        <f>+'FT-TIS'!F10</f>
        <v>0</v>
      </c>
      <c r="G10" s="389"/>
      <c r="H10" s="360" t="s">
        <v>21</v>
      </c>
      <c r="I10" s="361"/>
      <c r="J10" s="361"/>
      <c r="K10" s="361"/>
      <c r="L10" s="362"/>
      <c r="M10" s="309"/>
      <c r="N10" s="307"/>
      <c r="O10" s="307"/>
      <c r="P10" s="308"/>
      <c r="Q10" s="309"/>
      <c r="R10" s="307"/>
      <c r="S10" s="307"/>
      <c r="T10" s="307"/>
      <c r="U10" s="161">
        <f>+IF(OR(AND(M10&lt;&gt;"",O10&lt;&gt;""),AND(Q10&lt;&gt;"",S10&lt;&gt;"")),((O10-M10)+(S10-Q10))*24,0)</f>
        <v>0</v>
      </c>
      <c r="V10" s="162"/>
      <c r="W10" s="334">
        <f>+IF(OR(F10=Datas!$B$12,U10=0),0,IF(AND(M10&lt;Datas!$B$20,M10&lt;&gt;""),(MIN(Astreinte!O10,Datas!$B$20)-Astreinte!M10)*24,0)+IF(AND(S10&gt;Datas!$B$21,S10&lt;&gt;""),(S10-MAX(Astreinte!Q10,Datas!$B$21))*24,0))</f>
        <v>0</v>
      </c>
      <c r="X10" s="334"/>
      <c r="Y10" s="334">
        <f>IF(F10=Datas!$B$12,Astreinte!U10,0)</f>
        <v>0</v>
      </c>
      <c r="Z10" s="335"/>
      <c r="AA10" s="363">
        <f>IF(H10=Datas!$B$30,IF(F10=Datas!$B$12,Datas!$B$28,Datas!$B$25),IF(H10=Datas!$B$31,IF(F10=Datas!$B$12,Datas!$C$28,Datas!$C$25),0))</f>
        <v>0</v>
      </c>
      <c r="AB10" s="363"/>
      <c r="AD10" s="214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6"/>
    </row>
    <row r="11" spans="1:66" ht="11.1" customHeight="1" x14ac:dyDescent="0.25">
      <c r="A11" s="403"/>
      <c r="B11" s="276"/>
      <c r="C11" s="47" t="s">
        <v>8</v>
      </c>
      <c r="D11" s="40"/>
      <c r="E11" s="41"/>
      <c r="F11" s="388">
        <f>+'FT-TIS'!F11</f>
        <v>0</v>
      </c>
      <c r="G11" s="389"/>
      <c r="H11" s="360" t="s">
        <v>21</v>
      </c>
      <c r="I11" s="361"/>
      <c r="J11" s="361"/>
      <c r="K11" s="361"/>
      <c r="L11" s="362"/>
      <c r="M11" s="309"/>
      <c r="N11" s="307"/>
      <c r="O11" s="307"/>
      <c r="P11" s="308"/>
      <c r="Q11" s="309"/>
      <c r="R11" s="307"/>
      <c r="S11" s="307"/>
      <c r="T11" s="307"/>
      <c r="U11" s="161">
        <f t="shared" si="0"/>
        <v>0</v>
      </c>
      <c r="V11" s="162"/>
      <c r="W11" s="334">
        <f>+IF(OR(F11=Datas!$B$12,U11=0),0,IF(AND(M11&lt;Datas!$B$20,M11&lt;&gt;""),(MIN(Astreinte!O11,Datas!$B$20)-Astreinte!M11)*24,0)+IF(AND(S11&gt;Datas!$B$21,S11&lt;&gt;""),(S11-MAX(Astreinte!Q11,Datas!$B$21))*24,0))</f>
        <v>0</v>
      </c>
      <c r="X11" s="334"/>
      <c r="Y11" s="334">
        <f>IF(F11=Datas!$B$12,Astreinte!U11,0)</f>
        <v>0</v>
      </c>
      <c r="Z11" s="335"/>
      <c r="AA11" s="363">
        <f>IF(H11=Datas!$B$30,IF(F11=Datas!$B$12,Datas!$B$28,Datas!$B$25),IF(H11=Datas!$B$31,IF(F11=Datas!$B$12,Datas!$C$28,Datas!$C$25),0))</f>
        <v>0</v>
      </c>
      <c r="AB11" s="363"/>
      <c r="AD11" s="214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6"/>
    </row>
    <row r="12" spans="1:66" ht="11.1" customHeight="1" x14ac:dyDescent="0.25">
      <c r="A12" s="403"/>
      <c r="B12" s="276"/>
      <c r="C12" s="47" t="s">
        <v>9</v>
      </c>
      <c r="D12" s="40"/>
      <c r="E12" s="41"/>
      <c r="F12" s="388">
        <f>+'FT-TIS'!F12</f>
        <v>0</v>
      </c>
      <c r="G12" s="389"/>
      <c r="H12" s="360" t="s">
        <v>21</v>
      </c>
      <c r="I12" s="361"/>
      <c r="J12" s="361"/>
      <c r="K12" s="361"/>
      <c r="L12" s="362"/>
      <c r="M12" s="309"/>
      <c r="N12" s="307"/>
      <c r="O12" s="307"/>
      <c r="P12" s="308"/>
      <c r="Q12" s="309"/>
      <c r="R12" s="307"/>
      <c r="S12" s="307"/>
      <c r="T12" s="307"/>
      <c r="U12" s="161">
        <f t="shared" si="0"/>
        <v>0</v>
      </c>
      <c r="V12" s="162"/>
      <c r="W12" s="334">
        <f>+IF(OR(F12=Datas!$B$12,U12=0),0,IF(AND(M12&lt;Datas!$B$20,M12&lt;&gt;""),(MIN(Astreinte!O12,Datas!$B$20)-Astreinte!M12)*24,0)+IF(AND(S12&gt;Datas!$B$21,S12&lt;&gt;""),(S12-MAX(Astreinte!Q12,Datas!$B$21))*24,0))</f>
        <v>0</v>
      </c>
      <c r="X12" s="334"/>
      <c r="Y12" s="334">
        <f>IF(F12=Datas!$B$12,Astreinte!U12,0)</f>
        <v>0</v>
      </c>
      <c r="Z12" s="335"/>
      <c r="AA12" s="363">
        <f>IF(H12=Datas!$B$30,Datas!$B$26,IF(H12=Datas!$B$31,Datas!$C$26,0))</f>
        <v>0</v>
      </c>
      <c r="AB12" s="363"/>
      <c r="AD12" s="214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6"/>
    </row>
    <row r="13" spans="1:66" ht="11.1" customHeight="1" x14ac:dyDescent="0.25">
      <c r="A13" s="403"/>
      <c r="B13" s="276"/>
      <c r="C13" s="48" t="s">
        <v>10</v>
      </c>
      <c r="D13" s="42"/>
      <c r="E13" s="43"/>
      <c r="F13" s="386">
        <f>+'FT-TIS'!F13</f>
        <v>0</v>
      </c>
      <c r="G13" s="387"/>
      <c r="H13" s="372" t="s">
        <v>21</v>
      </c>
      <c r="I13" s="373"/>
      <c r="J13" s="373"/>
      <c r="K13" s="373"/>
      <c r="L13" s="374"/>
      <c r="M13" s="326"/>
      <c r="N13" s="327"/>
      <c r="O13" s="327"/>
      <c r="P13" s="328"/>
      <c r="Q13" s="123"/>
      <c r="R13" s="124"/>
      <c r="S13" s="125"/>
      <c r="T13" s="124"/>
      <c r="U13" s="163">
        <f t="shared" si="0"/>
        <v>0</v>
      </c>
      <c r="V13" s="164"/>
      <c r="W13" s="319">
        <f>+IF(OR(F13=Datas!$B$12,U13=0),0,IF(AND(M13&lt;Datas!$B$20,M13&lt;&gt;""),(MIN(Astreinte!O13,Datas!$B$20)-Astreinte!M13)*24,0)+IF(AND(S13&gt;Datas!$B$21,S13&lt;&gt;""),(S13-MAX(Astreinte!Q13,Datas!$B$21))*24,0))</f>
        <v>0</v>
      </c>
      <c r="X13" s="319"/>
      <c r="Y13" s="319">
        <f>IF(F13=Datas!$B$12,Astreinte!U13,0)</f>
        <v>0</v>
      </c>
      <c r="Z13" s="329"/>
      <c r="AA13" s="359">
        <f>IF(H13=Datas!$B$30,Datas!$B$27,IF(H13=Datas!$B$31,Datas!$C$27,0))</f>
        <v>0</v>
      </c>
      <c r="AB13" s="359"/>
      <c r="AD13" s="211"/>
      <c r="AE13" s="212"/>
      <c r="AF13" s="212"/>
      <c r="AG13" s="212"/>
      <c r="AH13" s="212"/>
      <c r="AI13" s="212"/>
      <c r="AJ13" s="212"/>
      <c r="AK13" s="212"/>
      <c r="AL13" s="212"/>
      <c r="AM13" s="212"/>
      <c r="AN13" s="212"/>
      <c r="AO13" s="212"/>
      <c r="AP13" s="212"/>
      <c r="AQ13" s="212"/>
      <c r="AR13" s="212"/>
      <c r="AS13" s="212"/>
      <c r="AT13" s="213"/>
    </row>
    <row r="14" spans="1:66" ht="11.1" customHeight="1" x14ac:dyDescent="0.25">
      <c r="A14" s="403"/>
      <c r="B14" s="276"/>
      <c r="C14" s="49" t="s">
        <v>11</v>
      </c>
      <c r="D14" s="44"/>
      <c r="E14" s="45"/>
      <c r="F14" s="71"/>
      <c r="G14" s="72"/>
      <c r="M14" s="72"/>
      <c r="N14" s="72"/>
      <c r="O14" s="72"/>
      <c r="P14" s="72"/>
      <c r="Q14" s="72"/>
      <c r="R14" s="72"/>
      <c r="S14" s="72"/>
      <c r="T14" s="73"/>
      <c r="U14" s="166">
        <f>SUM(U7:V13)</f>
        <v>0</v>
      </c>
      <c r="V14" s="167"/>
      <c r="W14" s="171">
        <f>SUM(W7:X13)</f>
        <v>0</v>
      </c>
      <c r="X14" s="171"/>
      <c r="Y14" s="171">
        <f>SUM(Y7:Z13)</f>
        <v>0</v>
      </c>
      <c r="Z14" s="113"/>
      <c r="AA14" s="371">
        <f>SUM(AA7:AB13)</f>
        <v>0</v>
      </c>
      <c r="AB14" s="371"/>
      <c r="AC14" s="9"/>
      <c r="AD14" s="9"/>
      <c r="AE14" s="9"/>
      <c r="AF14" s="52"/>
    </row>
    <row r="15" spans="1:66" ht="24.9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78"/>
      <c r="R15" s="78"/>
      <c r="S15" s="78"/>
      <c r="T15" s="78"/>
      <c r="U15" s="78"/>
      <c r="V15" s="78"/>
      <c r="W15" s="4"/>
      <c r="X15" s="6"/>
      <c r="Y15" s="4"/>
      <c r="Z15" s="6"/>
      <c r="AA15" s="6"/>
      <c r="AB15" s="6"/>
      <c r="AC15" s="6"/>
      <c r="AD15" s="6"/>
      <c r="AE15" s="6"/>
      <c r="AF15" s="6"/>
      <c r="AG15" s="6"/>
      <c r="AH15" s="6"/>
    </row>
    <row r="16" spans="1:66" ht="12.75" customHeight="1" x14ac:dyDescent="0.25">
      <c r="A16" s="320" t="s">
        <v>63</v>
      </c>
      <c r="B16" s="275" t="s">
        <v>64</v>
      </c>
      <c r="C16" s="300" t="s">
        <v>52</v>
      </c>
      <c r="D16" s="300"/>
      <c r="E16" s="300"/>
      <c r="F16" s="300" t="s">
        <v>18</v>
      </c>
      <c r="G16" s="300"/>
      <c r="H16" s="300" t="s">
        <v>37</v>
      </c>
      <c r="I16" s="300"/>
      <c r="J16" s="300"/>
      <c r="K16" s="300"/>
      <c r="L16" s="300"/>
      <c r="O16" s="376" t="s">
        <v>65</v>
      </c>
      <c r="P16" s="376"/>
      <c r="Q16" s="376"/>
      <c r="R16" s="376"/>
      <c r="S16" s="376"/>
      <c r="T16" s="376"/>
      <c r="U16" s="376"/>
      <c r="V16" s="376"/>
      <c r="W16" s="376"/>
      <c r="X16" s="377"/>
      <c r="Z16" s="349" t="s">
        <v>72</v>
      </c>
      <c r="AA16" s="349"/>
      <c r="AB16" s="349"/>
      <c r="AC16" s="349"/>
      <c r="AD16" s="349"/>
      <c r="AE16" s="349"/>
      <c r="AF16" s="349"/>
      <c r="AG16" s="349"/>
      <c r="AH16" s="349"/>
      <c r="AI16" s="350"/>
      <c r="AK16" s="378" t="s">
        <v>73</v>
      </c>
      <c r="AL16" s="378"/>
      <c r="AM16" s="378"/>
      <c r="AN16" s="378"/>
      <c r="AO16" s="378"/>
      <c r="AP16" s="378"/>
      <c r="AQ16" s="378"/>
      <c r="AR16" s="378"/>
      <c r="AS16" s="378"/>
      <c r="AT16" s="379"/>
    </row>
    <row r="17" spans="1:60" s="5" customFormat="1" ht="11.25" customHeight="1" x14ac:dyDescent="0.25">
      <c r="A17" s="321"/>
      <c r="B17" s="275"/>
      <c r="C17" s="301"/>
      <c r="D17" s="301"/>
      <c r="E17" s="301"/>
      <c r="F17" s="301"/>
      <c r="G17" s="301"/>
      <c r="H17" s="301"/>
      <c r="I17" s="301"/>
      <c r="J17" s="301"/>
      <c r="K17" s="301"/>
      <c r="L17" s="301"/>
      <c r="O17" s="303" t="s">
        <v>35</v>
      </c>
      <c r="P17" s="304"/>
      <c r="Q17" s="304" t="s">
        <v>36</v>
      </c>
      <c r="R17" s="304"/>
      <c r="S17" s="304" t="s">
        <v>46</v>
      </c>
      <c r="T17" s="304"/>
      <c r="U17" s="341" t="s">
        <v>57</v>
      </c>
      <c r="V17" s="341"/>
      <c r="W17" s="341" t="s">
        <v>58</v>
      </c>
      <c r="X17" s="343"/>
      <c r="Z17" s="303" t="s">
        <v>35</v>
      </c>
      <c r="AA17" s="304"/>
      <c r="AB17" s="304" t="s">
        <v>36</v>
      </c>
      <c r="AC17" s="304"/>
      <c r="AD17" s="304" t="s">
        <v>46</v>
      </c>
      <c r="AE17" s="304"/>
      <c r="AF17" s="341" t="s">
        <v>57</v>
      </c>
      <c r="AG17" s="341"/>
      <c r="AH17" s="341" t="s">
        <v>58</v>
      </c>
      <c r="AI17" s="343"/>
      <c r="AK17" s="303" t="s">
        <v>35</v>
      </c>
      <c r="AL17" s="304"/>
      <c r="AM17" s="304" t="s">
        <v>36</v>
      </c>
      <c r="AN17" s="304"/>
      <c r="AO17" s="304" t="s">
        <v>46</v>
      </c>
      <c r="AP17" s="304"/>
      <c r="AQ17" s="341" t="s">
        <v>57</v>
      </c>
      <c r="AR17" s="341"/>
      <c r="AS17" s="341" t="s">
        <v>58</v>
      </c>
      <c r="AT17" s="343"/>
      <c r="AU17" s="4"/>
    </row>
    <row r="18" spans="1:60" s="5" customFormat="1" ht="11.25" customHeight="1" x14ac:dyDescent="0.25">
      <c r="A18" s="321"/>
      <c r="B18" s="275"/>
      <c r="C18" s="302"/>
      <c r="D18" s="302"/>
      <c r="E18" s="302"/>
      <c r="F18" s="302"/>
      <c r="G18" s="302"/>
      <c r="H18" s="302"/>
      <c r="I18" s="302"/>
      <c r="J18" s="302"/>
      <c r="K18" s="302"/>
      <c r="L18" s="302"/>
      <c r="O18" s="305"/>
      <c r="P18" s="306"/>
      <c r="Q18" s="306"/>
      <c r="R18" s="306"/>
      <c r="S18" s="306"/>
      <c r="T18" s="306"/>
      <c r="U18" s="342"/>
      <c r="V18" s="342"/>
      <c r="W18" s="342"/>
      <c r="X18" s="344"/>
      <c r="Z18" s="305"/>
      <c r="AA18" s="306"/>
      <c r="AB18" s="306"/>
      <c r="AC18" s="306"/>
      <c r="AD18" s="306"/>
      <c r="AE18" s="306"/>
      <c r="AF18" s="342"/>
      <c r="AG18" s="342"/>
      <c r="AH18" s="342"/>
      <c r="AI18" s="344"/>
      <c r="AK18" s="305"/>
      <c r="AL18" s="306"/>
      <c r="AM18" s="306"/>
      <c r="AN18" s="306"/>
      <c r="AO18" s="306"/>
      <c r="AP18" s="306"/>
      <c r="AQ18" s="342"/>
      <c r="AR18" s="342"/>
      <c r="AS18" s="342"/>
      <c r="AT18" s="344"/>
      <c r="AU18" s="4"/>
    </row>
    <row r="19" spans="1:60" ht="11.1" customHeight="1" x14ac:dyDescent="0.25">
      <c r="A19" s="321"/>
      <c r="B19" s="275"/>
      <c r="C19" s="46" t="s">
        <v>4</v>
      </c>
      <c r="D19" s="54"/>
      <c r="E19" s="55"/>
      <c r="F19" s="209">
        <f t="shared" ref="F19:F25" si="1">+F7</f>
        <v>0</v>
      </c>
      <c r="G19" s="210"/>
      <c r="H19" s="364" t="str">
        <f>+H7</f>
        <v>Non</v>
      </c>
      <c r="I19" s="365"/>
      <c r="J19" s="365"/>
      <c r="K19" s="365"/>
      <c r="L19" s="366"/>
      <c r="O19" s="336"/>
      <c r="P19" s="337"/>
      <c r="Q19" s="337"/>
      <c r="R19" s="338"/>
      <c r="S19" s="169">
        <f>+IF(AND(O19&lt;&gt;"",Q19&lt;&gt;""),(Q19-O19)*24,0)</f>
        <v>0</v>
      </c>
      <c r="T19" s="170"/>
      <c r="U19" s="339">
        <f>+IF(OR($F19=Datas!$B$12,S19=0),0,IF(O19&lt;Datas!$B$20,IF(Astreinte!Q19&lt;Datas!$B$20,(Astreinte!Q19-Astreinte!O19)*24,IF(Astreinte!Q19&lt;Datas!$B$21,(Datas!$B$20-Astreinte!O19)*24,(Datas!$B$20-Astreinte!O19+Astreinte!Q19-Datas!$B$21)*24)),IF(Astreinte!O19&lt;Datas!$B$21,IF(Astreinte!Q19&lt;Datas!$B$21,0,(Astreinte!Q19-Datas!$B$21)*24),(Astreinte!Q19-Astreinte!O19)*24)))</f>
        <v>0</v>
      </c>
      <c r="V19" s="339"/>
      <c r="W19" s="339">
        <f>IF($F19=Datas!$B$12,Astreinte!S19,0)</f>
        <v>0</v>
      </c>
      <c r="X19" s="340"/>
      <c r="Z19" s="336"/>
      <c r="AA19" s="337"/>
      <c r="AB19" s="337"/>
      <c r="AC19" s="338"/>
      <c r="AD19" s="169">
        <f>+IF(AND(Z19&lt;&gt;"",AB19&lt;&gt;""),(AB19-Z19)*24,0)</f>
        <v>0</v>
      </c>
      <c r="AE19" s="170"/>
      <c r="AF19" s="339">
        <f>+IF(OR($F19=Datas!$B$12,AD19=0),0,IF(Z19&lt;Datas!$B$20,IF(Astreinte!AB19&lt;Datas!$B$20,(Astreinte!AB19-Astreinte!Z19)*24,IF(Astreinte!AB19&lt;Datas!$B$21,(Datas!$B$20-Astreinte!Z19)*24,(Datas!$B$20-Astreinte!Z19+Astreinte!AB19-Datas!$B$21)*24)),IF(Astreinte!Z19&lt;Datas!$B$21,IF(Astreinte!AB19&lt;Datas!$B$21,0,(Astreinte!AB19-Datas!$B$21)*24),(Astreinte!AB19-Astreinte!Z19)*24)))</f>
        <v>0</v>
      </c>
      <c r="AG19" s="339"/>
      <c r="AH19" s="339">
        <f>IF($F19=Datas!$B$12,Astreinte!AD19,0)</f>
        <v>0</v>
      </c>
      <c r="AI19" s="340"/>
      <c r="AK19" s="336"/>
      <c r="AL19" s="337"/>
      <c r="AM19" s="337"/>
      <c r="AN19" s="338"/>
      <c r="AO19" s="169">
        <f>+IF(AND(AK19&lt;&gt;"",AM19&lt;&gt;""),(AM19-AK19)*24,0)</f>
        <v>0</v>
      </c>
      <c r="AP19" s="170"/>
      <c r="AQ19" s="339">
        <f>+IF(OR($F19=Datas!$B$12,AO19=0),0,IF(AK19&lt;Datas!$B$20,IF(Astreinte!AM19&lt;Datas!$B$20,(Astreinte!AM19-Astreinte!AK19)*24,IF(Astreinte!AM19&lt;Datas!$B$21,(Datas!$B$20-Astreinte!AK19)*24,(Datas!$B$20-Astreinte!AK19+Astreinte!AM19-Datas!$B$21)*24)),IF(Astreinte!AK19&lt;Datas!$B$21,IF(Astreinte!AM19&lt;Datas!$B$21,0,(Astreinte!AM19-Datas!$B$21)*24),(Astreinte!AM19-Astreinte!AK19)*24)))</f>
        <v>0</v>
      </c>
      <c r="AR19" s="339"/>
      <c r="AS19" s="339">
        <f>IF($F19=Datas!$B$12,Astreinte!AO19,0)</f>
        <v>0</v>
      </c>
      <c r="AT19" s="340"/>
    </row>
    <row r="20" spans="1:60" ht="11.1" customHeight="1" x14ac:dyDescent="0.25">
      <c r="A20" s="321"/>
      <c r="B20" s="275"/>
      <c r="C20" s="47" t="s">
        <v>5</v>
      </c>
      <c r="D20" s="56"/>
      <c r="E20" s="57"/>
      <c r="F20" s="191">
        <f t="shared" si="1"/>
        <v>0</v>
      </c>
      <c r="G20" s="192"/>
      <c r="H20" s="310" t="str">
        <f t="shared" ref="H20:H25" si="2">+H8</f>
        <v>Non</v>
      </c>
      <c r="I20" s="311"/>
      <c r="J20" s="311"/>
      <c r="K20" s="311"/>
      <c r="L20" s="312"/>
      <c r="O20" s="309"/>
      <c r="P20" s="307"/>
      <c r="Q20" s="307"/>
      <c r="R20" s="308"/>
      <c r="S20" s="161">
        <f t="shared" ref="S20:S25" si="3">+IF(AND(O20&lt;&gt;"",Q20&lt;&gt;""),(Q20-O20)*24,0)</f>
        <v>0</v>
      </c>
      <c r="T20" s="162"/>
      <c r="U20" s="334">
        <f>+IF(OR($F20=Datas!$B$12,S20=0),0,IF(O20&lt;Datas!$B$20,IF(Astreinte!Q20&lt;Datas!$B$20,(Astreinte!Q20-Astreinte!O20)*24,IF(Astreinte!Q20&lt;Datas!$B$21,(Datas!$B$20-Astreinte!O20)*24,(Datas!$B$20-Astreinte!O20+Astreinte!Q20-Datas!$B$21)*24)),IF(Astreinte!O20&lt;Datas!$B$21,IF(Astreinte!Q20&lt;Datas!$B$21,0,(Astreinte!Q20-Datas!$B$21)*24),(Astreinte!Q20-Astreinte!O20)*24)))</f>
        <v>0</v>
      </c>
      <c r="V20" s="334"/>
      <c r="W20" s="334">
        <f>IF($F20=Datas!$B$12,Astreinte!S20,0)</f>
        <v>0</v>
      </c>
      <c r="X20" s="335"/>
      <c r="Z20" s="309"/>
      <c r="AA20" s="307"/>
      <c r="AB20" s="307"/>
      <c r="AC20" s="308"/>
      <c r="AD20" s="161">
        <f t="shared" ref="AD20:AD25" si="4">+IF(AND(Z20&lt;&gt;"",AB20&lt;&gt;""),(AB20-Z20)*24,0)</f>
        <v>0</v>
      </c>
      <c r="AE20" s="162"/>
      <c r="AF20" s="334">
        <f>+IF(OR($F20=Datas!$B$12,AD20=0),0,IF(Z20&lt;Datas!$B$20,IF(Astreinte!AB20&lt;Datas!$B$20,(Astreinte!AB20-Astreinte!Z20)*24,IF(Astreinte!AB20&lt;Datas!$B$21,(Datas!$B$20-Astreinte!Z20)*24,(Datas!$B$20-Astreinte!Z20+Astreinte!AB20-Datas!$B$21)*24)),IF(Astreinte!Z20&lt;Datas!$B$21,IF(Astreinte!AB20&lt;Datas!$B$21,0,(Astreinte!AB20-Datas!$B$21)*24),(Astreinte!AB20-Astreinte!Z20)*24)))</f>
        <v>0</v>
      </c>
      <c r="AG20" s="334"/>
      <c r="AH20" s="334">
        <f>IF($F20=Datas!$B$12,Astreinte!AD20,0)</f>
        <v>0</v>
      </c>
      <c r="AI20" s="335"/>
      <c r="AK20" s="309"/>
      <c r="AL20" s="307"/>
      <c r="AM20" s="307"/>
      <c r="AN20" s="308"/>
      <c r="AO20" s="161">
        <f t="shared" ref="AO20:AO25" si="5">+IF(AND(AK20&lt;&gt;"",AM20&lt;&gt;""),(AM20-AK20)*24,0)</f>
        <v>0</v>
      </c>
      <c r="AP20" s="162"/>
      <c r="AQ20" s="334">
        <f>+IF(OR($F20=Datas!$B$12,AO20=0),0,IF(AK20&lt;Datas!$B$20,IF(Astreinte!AM20&lt;Datas!$B$20,(Astreinte!AM20-Astreinte!AK20)*24,IF(Astreinte!AM20&lt;Datas!$B$21,(Datas!$B$20-Astreinte!AK20)*24,(Datas!$B$20-Astreinte!AK20+Astreinte!AM20-Datas!$B$21)*24)),IF(Astreinte!AK20&lt;Datas!$B$21,IF(Astreinte!AM20&lt;Datas!$B$21,0,(Astreinte!AM20-Datas!$B$21)*24),(Astreinte!AM20-Astreinte!AK20)*24)))</f>
        <v>0</v>
      </c>
      <c r="AR20" s="334"/>
      <c r="AS20" s="334">
        <f>IF($F20=Datas!$B$12,Astreinte!AO20,0)</f>
        <v>0</v>
      </c>
      <c r="AT20" s="335"/>
    </row>
    <row r="21" spans="1:60" ht="11.1" customHeight="1" x14ac:dyDescent="0.25">
      <c r="A21" s="321"/>
      <c r="B21" s="275"/>
      <c r="C21" s="47" t="s">
        <v>6</v>
      </c>
      <c r="D21" s="56"/>
      <c r="E21" s="57"/>
      <c r="F21" s="191">
        <f t="shared" si="1"/>
        <v>0</v>
      </c>
      <c r="G21" s="192"/>
      <c r="H21" s="310" t="str">
        <f t="shared" si="2"/>
        <v>Non</v>
      </c>
      <c r="I21" s="311"/>
      <c r="J21" s="311"/>
      <c r="K21" s="311"/>
      <c r="L21" s="312"/>
      <c r="O21" s="309"/>
      <c r="P21" s="307"/>
      <c r="Q21" s="307"/>
      <c r="R21" s="308"/>
      <c r="S21" s="161">
        <f>+IF(AND(O21&lt;&gt;"",Q21&lt;&gt;""),(Q21-O21)*24,0)</f>
        <v>0</v>
      </c>
      <c r="T21" s="162"/>
      <c r="U21" s="334">
        <f>+IF(OR($F21=Datas!$B$12,S21=0),0,IF(O21&lt;Datas!$B$20,IF(Astreinte!Q21&lt;Datas!$B$20,(Astreinte!Q21-Astreinte!O21)*24,IF(Astreinte!Q21&lt;Datas!$B$21,(Datas!$B$20-Astreinte!O21)*24,(Datas!$B$20-Astreinte!O21+Astreinte!Q21-Datas!$B$21)*24)),IF(Astreinte!O21&lt;Datas!$B$21,IF(Astreinte!Q21&lt;Datas!$B$21,0,(Astreinte!Q21-Datas!$B$21)*24),(Astreinte!Q21-Astreinte!O21)*24)))</f>
        <v>0</v>
      </c>
      <c r="V21" s="334"/>
      <c r="W21" s="334">
        <f>IF($F21=Datas!$B$12,Astreinte!S21,0)</f>
        <v>0</v>
      </c>
      <c r="X21" s="335"/>
      <c r="Z21" s="309"/>
      <c r="AA21" s="307"/>
      <c r="AB21" s="307"/>
      <c r="AC21" s="308"/>
      <c r="AD21" s="161">
        <f t="shared" si="4"/>
        <v>0</v>
      </c>
      <c r="AE21" s="162"/>
      <c r="AF21" s="334">
        <f>+IF(OR($F21=Datas!$B$12,AD21=0),0,IF(Z21&lt;Datas!$B$20,IF(Astreinte!AB21&lt;Datas!$B$20,(Astreinte!AB21-Astreinte!Z21)*24,IF(Astreinte!AB21&lt;Datas!$B$21,(Datas!$B$20-Astreinte!Z21)*24,(Datas!$B$20-Astreinte!Z21+Astreinte!AB21-Datas!$B$21)*24)),IF(Astreinte!Z21&lt;Datas!$B$21,IF(Astreinte!AB21&lt;Datas!$B$21,0,(Astreinte!AB21-Datas!$B$21)*24),(Astreinte!AB21-Astreinte!Z21)*24)))</f>
        <v>0</v>
      </c>
      <c r="AG21" s="334"/>
      <c r="AH21" s="334">
        <f>IF($F21=Datas!$B$12,Astreinte!AD21,0)</f>
        <v>0</v>
      </c>
      <c r="AI21" s="335"/>
      <c r="AK21" s="309"/>
      <c r="AL21" s="307"/>
      <c r="AM21" s="307"/>
      <c r="AN21" s="308"/>
      <c r="AO21" s="161">
        <f t="shared" si="5"/>
        <v>0</v>
      </c>
      <c r="AP21" s="162"/>
      <c r="AQ21" s="334">
        <f>+IF(OR($F21=Datas!$B$12,AO21=0),0,IF(AK21&lt;Datas!$B$20,IF(Astreinte!AM21&lt;Datas!$B$20,(Astreinte!AM21-Astreinte!AK21)*24,IF(Astreinte!AM21&lt;Datas!$B$21,(Datas!$B$20-Astreinte!AK21)*24,(Datas!$B$20-Astreinte!AK21+Astreinte!AM21-Datas!$B$21)*24)),IF(Astreinte!AK21&lt;Datas!$B$21,IF(Astreinte!AM21&lt;Datas!$B$21,0,(Astreinte!AM21-Datas!$B$21)*24),(Astreinte!AM21-Astreinte!AK21)*24)))</f>
        <v>0</v>
      </c>
      <c r="AR21" s="334"/>
      <c r="AS21" s="334">
        <f>IF($F21=Datas!$B$12,Astreinte!AO21,0)</f>
        <v>0</v>
      </c>
      <c r="AT21" s="335"/>
    </row>
    <row r="22" spans="1:60" ht="11.1" customHeight="1" x14ac:dyDescent="0.25">
      <c r="A22" s="321"/>
      <c r="B22" s="275"/>
      <c r="C22" s="47" t="s">
        <v>7</v>
      </c>
      <c r="D22" s="56"/>
      <c r="E22" s="57"/>
      <c r="F22" s="191">
        <f t="shared" si="1"/>
        <v>0</v>
      </c>
      <c r="G22" s="192"/>
      <c r="H22" s="310" t="str">
        <f t="shared" si="2"/>
        <v>Non</v>
      </c>
      <c r="I22" s="311"/>
      <c r="J22" s="311"/>
      <c r="K22" s="311"/>
      <c r="L22" s="312"/>
      <c r="O22" s="309"/>
      <c r="P22" s="307"/>
      <c r="Q22" s="307"/>
      <c r="R22" s="308"/>
      <c r="S22" s="161">
        <f>+IF(AND(O22&lt;&gt;"",Q22&lt;&gt;""),(Q22-O22)*24,0)</f>
        <v>0</v>
      </c>
      <c r="T22" s="162"/>
      <c r="U22" s="334">
        <f>+IF(OR($F22=Datas!$B$12,S22=0),0,IF(O22&lt;Datas!$B$20,IF(Astreinte!Q22&lt;Datas!$B$20,(Astreinte!Q22-Astreinte!O22)*24,IF(Astreinte!Q22&lt;Datas!$B$21,(Datas!$B$20-Astreinte!O22)*24,(Datas!$B$20-Astreinte!O22+Astreinte!Q22-Datas!$B$21)*24)),IF(Astreinte!O22&lt;Datas!$B$21,IF(Astreinte!Q22&lt;Datas!$B$21,0,(Astreinte!Q22-Datas!$B$21)*24),(Astreinte!Q22-Astreinte!O22)*24)))</f>
        <v>0</v>
      </c>
      <c r="V22" s="334"/>
      <c r="W22" s="334">
        <f>IF($F22=Datas!$B$12,Astreinte!S22,0)</f>
        <v>0</v>
      </c>
      <c r="X22" s="335"/>
      <c r="Z22" s="309"/>
      <c r="AA22" s="307"/>
      <c r="AB22" s="307"/>
      <c r="AC22" s="308"/>
      <c r="AD22" s="161">
        <f t="shared" si="4"/>
        <v>0</v>
      </c>
      <c r="AE22" s="162"/>
      <c r="AF22" s="334">
        <f>+IF(OR($F22=Datas!$B$12,AD22=0),0,IF(Z22&lt;Datas!$B$20,IF(Astreinte!AB22&lt;Datas!$B$20,(Astreinte!AB22-Astreinte!Z22)*24,IF(Astreinte!AB22&lt;Datas!$B$21,(Datas!$B$20-Astreinte!Z22)*24,(Datas!$B$20-Astreinte!Z22+Astreinte!AB22-Datas!$B$21)*24)),IF(Astreinte!Z22&lt;Datas!$B$21,IF(Astreinte!AB22&lt;Datas!$B$21,0,(Astreinte!AB22-Datas!$B$21)*24),(Astreinte!AB22-Astreinte!Z22)*24)))</f>
        <v>0</v>
      </c>
      <c r="AG22" s="334"/>
      <c r="AH22" s="334">
        <f>IF($F22=Datas!$B$12,Astreinte!AD22,0)</f>
        <v>0</v>
      </c>
      <c r="AI22" s="335"/>
      <c r="AK22" s="309"/>
      <c r="AL22" s="307"/>
      <c r="AM22" s="307"/>
      <c r="AN22" s="308"/>
      <c r="AO22" s="161">
        <f t="shared" si="5"/>
        <v>0</v>
      </c>
      <c r="AP22" s="162"/>
      <c r="AQ22" s="334">
        <f>+IF(OR($F22=Datas!$B$12,AO22=0),0,IF(AK22&lt;Datas!$B$20,IF(Astreinte!AM22&lt;Datas!$B$20,(Astreinte!AM22-Astreinte!AK22)*24,IF(Astreinte!AM22&lt;Datas!$B$21,(Datas!$B$20-Astreinte!AK22)*24,(Datas!$B$20-Astreinte!AK22+Astreinte!AM22-Datas!$B$21)*24)),IF(Astreinte!AK22&lt;Datas!$B$21,IF(Astreinte!AM22&lt;Datas!$B$21,0,(Astreinte!AM22-Datas!$B$21)*24),(Astreinte!AM22-Astreinte!AK22)*24)))</f>
        <v>0</v>
      </c>
      <c r="AR22" s="334"/>
      <c r="AS22" s="334">
        <f>IF($F22=Datas!$B$12,Astreinte!AO22,0)</f>
        <v>0</v>
      </c>
      <c r="AT22" s="335"/>
    </row>
    <row r="23" spans="1:60" ht="11.1" customHeight="1" x14ac:dyDescent="0.25">
      <c r="A23" s="321"/>
      <c r="B23" s="275"/>
      <c r="C23" s="47" t="s">
        <v>8</v>
      </c>
      <c r="D23" s="56"/>
      <c r="E23" s="57"/>
      <c r="F23" s="191">
        <f t="shared" si="1"/>
        <v>0</v>
      </c>
      <c r="G23" s="192"/>
      <c r="H23" s="310" t="str">
        <f t="shared" si="2"/>
        <v>Non</v>
      </c>
      <c r="I23" s="311"/>
      <c r="J23" s="311"/>
      <c r="K23" s="311"/>
      <c r="L23" s="312"/>
      <c r="O23" s="309"/>
      <c r="P23" s="307"/>
      <c r="Q23" s="307"/>
      <c r="R23" s="308"/>
      <c r="S23" s="161">
        <f t="shared" si="3"/>
        <v>0</v>
      </c>
      <c r="T23" s="162"/>
      <c r="U23" s="334">
        <f>+IF(OR($F23=Datas!$B$12,S23=0),0,IF(O23&lt;Datas!$B$20,IF(Astreinte!Q23&lt;Datas!$B$20,(Astreinte!Q23-Astreinte!O23)*24,IF(Astreinte!Q23&lt;Datas!$B$21,(Datas!$B$20-Astreinte!O23)*24,(Datas!$B$20-Astreinte!O23+Astreinte!Q23-Datas!$B$21)*24)),IF(Astreinte!O23&lt;Datas!$B$21,IF(Astreinte!Q23&lt;Datas!$B$21,0,(Astreinte!Q23-Datas!$B$21)*24),(Astreinte!Q23-Astreinte!O23)*24)))</f>
        <v>0</v>
      </c>
      <c r="V23" s="334"/>
      <c r="W23" s="334">
        <f>IF($F23=Datas!$B$12,Astreinte!S23,0)</f>
        <v>0</v>
      </c>
      <c r="X23" s="335"/>
      <c r="Z23" s="309"/>
      <c r="AA23" s="307"/>
      <c r="AB23" s="307"/>
      <c r="AC23" s="308"/>
      <c r="AD23" s="161">
        <f t="shared" si="4"/>
        <v>0</v>
      </c>
      <c r="AE23" s="162"/>
      <c r="AF23" s="334">
        <f>+IF(OR($F23=Datas!$B$12,AD23=0),0,IF(Z23&lt;Datas!$B$20,IF(Astreinte!AB23&lt;Datas!$B$20,(Astreinte!AB23-Astreinte!Z23)*24,IF(Astreinte!AB23&lt;Datas!$B$21,(Datas!$B$20-Astreinte!Z23)*24,(Datas!$B$20-Astreinte!Z23+Astreinte!AB23-Datas!$B$21)*24)),IF(Astreinte!Z23&lt;Datas!$B$21,IF(Astreinte!AB23&lt;Datas!$B$21,0,(Astreinte!AB23-Datas!$B$21)*24),(Astreinte!AB23-Astreinte!Z23)*24)))</f>
        <v>0</v>
      </c>
      <c r="AG23" s="334"/>
      <c r="AH23" s="334">
        <f>IF($F23=Datas!$B$12,Astreinte!AD23,0)</f>
        <v>0</v>
      </c>
      <c r="AI23" s="335"/>
      <c r="AK23" s="309"/>
      <c r="AL23" s="307"/>
      <c r="AM23" s="307"/>
      <c r="AN23" s="308"/>
      <c r="AO23" s="161">
        <f t="shared" si="5"/>
        <v>0</v>
      </c>
      <c r="AP23" s="162"/>
      <c r="AQ23" s="334">
        <f>+IF(OR($F23=Datas!$B$12,AO23=0),0,IF(AK23&lt;Datas!$B$20,IF(Astreinte!AM23&lt;Datas!$B$20,(Astreinte!AM23-Astreinte!AK23)*24,IF(Astreinte!AM23&lt;Datas!$B$21,(Datas!$B$20-Astreinte!AK23)*24,(Datas!$B$20-Astreinte!AK23+Astreinte!AM23-Datas!$B$21)*24)),IF(Astreinte!AK23&lt;Datas!$B$21,IF(Astreinte!AM23&lt;Datas!$B$21,0,(Astreinte!AM23-Datas!$B$21)*24),(Astreinte!AM23-Astreinte!AK23)*24)))</f>
        <v>0</v>
      </c>
      <c r="AR23" s="334"/>
      <c r="AS23" s="334">
        <f>IF($F23=Datas!$B$12,Astreinte!AO23,0)</f>
        <v>0</v>
      </c>
      <c r="AT23" s="335"/>
    </row>
    <row r="24" spans="1:60" ht="11.1" customHeight="1" x14ac:dyDescent="0.25">
      <c r="A24" s="321"/>
      <c r="B24" s="275"/>
      <c r="C24" s="47" t="s">
        <v>9</v>
      </c>
      <c r="D24" s="56"/>
      <c r="E24" s="57"/>
      <c r="F24" s="191">
        <f t="shared" si="1"/>
        <v>0</v>
      </c>
      <c r="G24" s="192"/>
      <c r="H24" s="310" t="str">
        <f t="shared" si="2"/>
        <v>Non</v>
      </c>
      <c r="I24" s="311"/>
      <c r="J24" s="311"/>
      <c r="K24" s="311"/>
      <c r="L24" s="312"/>
      <c r="O24" s="309"/>
      <c r="P24" s="307"/>
      <c r="Q24" s="307"/>
      <c r="R24" s="308"/>
      <c r="S24" s="161">
        <f t="shared" si="3"/>
        <v>0</v>
      </c>
      <c r="T24" s="162"/>
      <c r="U24" s="334">
        <f>+IF(OR($F24=Datas!$B$12,S24=0),0,IF(O24&lt;Datas!$B$20,IF(Astreinte!Q24&lt;Datas!$B$20,(Astreinte!Q24-Astreinte!O24)*24,IF(Astreinte!Q24&lt;Datas!$B$21,(Datas!$B$20-Astreinte!O24)*24,(Datas!$B$20-Astreinte!O24+Astreinte!Q24-Datas!$B$21)*24)),IF(Astreinte!O24&lt;Datas!$B$21,IF(Astreinte!Q24&lt;Datas!$B$21,0,(Astreinte!Q24-Datas!$B$21)*24),(Astreinte!Q24-Astreinte!O24)*24)))</f>
        <v>0</v>
      </c>
      <c r="V24" s="334"/>
      <c r="W24" s="334">
        <f>IF($F24=Datas!$B$12,Astreinte!S24,0)</f>
        <v>0</v>
      </c>
      <c r="X24" s="335"/>
      <c r="Z24" s="309"/>
      <c r="AA24" s="307"/>
      <c r="AB24" s="307"/>
      <c r="AC24" s="308"/>
      <c r="AD24" s="161">
        <f t="shared" si="4"/>
        <v>0</v>
      </c>
      <c r="AE24" s="162"/>
      <c r="AF24" s="334">
        <f>+IF(OR($F24=Datas!$B$12,AD24=0),0,IF(Z24&lt;Datas!$B$20,IF(Astreinte!AB24&lt;Datas!$B$20,(Astreinte!AB24-Astreinte!Z24)*24,IF(Astreinte!AB24&lt;Datas!$B$21,(Datas!$B$20-Astreinte!Z24)*24,(Datas!$B$20-Astreinte!Z24+Astreinte!AB24-Datas!$B$21)*24)),IF(Astreinte!Z24&lt;Datas!$B$21,IF(Astreinte!AB24&lt;Datas!$B$21,0,(Astreinte!AB24-Datas!$B$21)*24),(Astreinte!AB24-Astreinte!Z24)*24)))</f>
        <v>0</v>
      </c>
      <c r="AG24" s="334"/>
      <c r="AH24" s="334">
        <f>IF($F24=Datas!$B$12,Astreinte!AD24,0)</f>
        <v>0</v>
      </c>
      <c r="AI24" s="335"/>
      <c r="AK24" s="309"/>
      <c r="AL24" s="307"/>
      <c r="AM24" s="307"/>
      <c r="AN24" s="308"/>
      <c r="AO24" s="161">
        <f t="shared" si="5"/>
        <v>0</v>
      </c>
      <c r="AP24" s="162"/>
      <c r="AQ24" s="334">
        <f>+IF(OR($F24=Datas!$B$12,AO24=0),0,IF(AK24&lt;Datas!$B$20,IF(Astreinte!AM24&lt;Datas!$B$20,(Astreinte!AM24-Astreinte!AK24)*24,IF(Astreinte!AM24&lt;Datas!$B$21,(Datas!$B$20-Astreinte!AK24)*24,(Datas!$B$20-Astreinte!AK24+Astreinte!AM24-Datas!$B$21)*24)),IF(Astreinte!AK24&lt;Datas!$B$21,IF(Astreinte!AM24&lt;Datas!$B$21,0,(Astreinte!AM24-Datas!$B$21)*24),(Astreinte!AM24-Astreinte!AK24)*24)))</f>
        <v>0</v>
      </c>
      <c r="AR24" s="334"/>
      <c r="AS24" s="334">
        <f>IF($F24=Datas!$B$12,Astreinte!AO24,0)</f>
        <v>0</v>
      </c>
      <c r="AT24" s="335"/>
    </row>
    <row r="25" spans="1:60" ht="11.1" customHeight="1" x14ac:dyDescent="0.25">
      <c r="A25" s="321"/>
      <c r="B25" s="275"/>
      <c r="C25" s="48" t="s">
        <v>10</v>
      </c>
      <c r="D25" s="58"/>
      <c r="E25" s="59"/>
      <c r="F25" s="286">
        <f t="shared" si="1"/>
        <v>0</v>
      </c>
      <c r="G25" s="287"/>
      <c r="H25" s="380" t="str">
        <f t="shared" si="2"/>
        <v>Non</v>
      </c>
      <c r="I25" s="381"/>
      <c r="J25" s="381"/>
      <c r="K25" s="381"/>
      <c r="L25" s="382"/>
      <c r="O25" s="326"/>
      <c r="P25" s="327"/>
      <c r="Q25" s="327"/>
      <c r="R25" s="328"/>
      <c r="S25" s="163">
        <f t="shared" si="3"/>
        <v>0</v>
      </c>
      <c r="T25" s="164"/>
      <c r="U25" s="319">
        <f>+IF(OR($F25=Datas!$B$12,S25=0),0,IF(O25&lt;Datas!$B$20,IF(Astreinte!Q25&lt;Datas!$B$20,(Astreinte!Q25-Astreinte!O25)*24,IF(Astreinte!Q25&lt;Datas!$B$21,(Datas!$B$20-Astreinte!O25)*24,(Datas!$B$20-Astreinte!O25+Astreinte!Q25-Datas!$B$21)*24)),IF(Astreinte!O25&lt;Datas!$B$21,IF(Astreinte!Q25&lt;Datas!$B$21,0,(Astreinte!Q25-Datas!$B$21)*24),(Astreinte!Q25-Astreinte!O25)*24)))</f>
        <v>0</v>
      </c>
      <c r="V25" s="319"/>
      <c r="W25" s="319">
        <f>IF($F25=Datas!$B$12,Astreinte!S25,0)</f>
        <v>0</v>
      </c>
      <c r="X25" s="329"/>
      <c r="Z25" s="326"/>
      <c r="AA25" s="327"/>
      <c r="AB25" s="327"/>
      <c r="AC25" s="328"/>
      <c r="AD25" s="163">
        <f t="shared" si="4"/>
        <v>0</v>
      </c>
      <c r="AE25" s="164"/>
      <c r="AF25" s="319">
        <f>+IF(OR($F25=Datas!$B$12,AD25=0),0,IF(Z25&lt;Datas!$B$20,IF(Astreinte!AB25&lt;Datas!$B$20,(Astreinte!AB25-Astreinte!Z25)*24,IF(Astreinte!AB25&lt;Datas!$B$21,(Datas!$B$20-Astreinte!Z25)*24,(Datas!$B$20-Astreinte!Z25+Astreinte!AB25-Datas!$B$21)*24)),IF(Astreinte!Z25&lt;Datas!$B$21,IF(Astreinte!AB25&lt;Datas!$B$21,0,(Astreinte!AB25-Datas!$B$21)*24),(Astreinte!AB25-Astreinte!Z25)*24)))</f>
        <v>0</v>
      </c>
      <c r="AG25" s="319"/>
      <c r="AH25" s="319">
        <f>IF($F25=Datas!$B$12,Astreinte!AD25,0)</f>
        <v>0</v>
      </c>
      <c r="AI25" s="329"/>
      <c r="AK25" s="326"/>
      <c r="AL25" s="327"/>
      <c r="AM25" s="327"/>
      <c r="AN25" s="328"/>
      <c r="AO25" s="163">
        <f t="shared" si="5"/>
        <v>0</v>
      </c>
      <c r="AP25" s="164"/>
      <c r="AQ25" s="319">
        <f>+IF(OR($F25=Datas!$B$12,AO25=0),0,IF(AK25&lt;Datas!$B$20,IF(Astreinte!AM25&lt;Datas!$B$20,(Astreinte!AM25-Astreinte!AK25)*24,IF(Astreinte!AM25&lt;Datas!$B$21,(Datas!$B$20-Astreinte!AK25)*24,(Datas!$B$20-Astreinte!AK25+Astreinte!AM25-Datas!$B$21)*24)),IF(Astreinte!AK25&lt;Datas!$B$21,IF(Astreinte!AM25&lt;Datas!$B$21,0,(Astreinte!AM25-Datas!$B$21)*24),(Astreinte!AM25-Astreinte!AK25)*24)))</f>
        <v>0</v>
      </c>
      <c r="AR25" s="319"/>
      <c r="AS25" s="319">
        <f>IF($F25=Datas!$B$12,Astreinte!AO25,0)</f>
        <v>0</v>
      </c>
      <c r="AT25" s="329"/>
    </row>
    <row r="26" spans="1:60" ht="11.1" customHeight="1" x14ac:dyDescent="0.25">
      <c r="A26" s="321"/>
      <c r="B26" s="275"/>
      <c r="C26" s="49" t="s">
        <v>11</v>
      </c>
      <c r="D26" s="60"/>
      <c r="E26" s="61"/>
      <c r="F26" s="51"/>
      <c r="G26" s="51"/>
      <c r="O26" s="50"/>
      <c r="P26" s="51"/>
      <c r="Q26" s="50"/>
      <c r="R26" s="51"/>
      <c r="S26" s="324">
        <f>SUM(S19:T25)</f>
        <v>0</v>
      </c>
      <c r="T26" s="325"/>
      <c r="U26" s="171">
        <f>SUM(U19:V25)</f>
        <v>0</v>
      </c>
      <c r="V26" s="171"/>
      <c r="W26" s="171">
        <f>SUM(W19:X25)</f>
        <v>0</v>
      </c>
      <c r="X26" s="113"/>
      <c r="Z26" s="50"/>
      <c r="AA26" s="51"/>
      <c r="AB26" s="50"/>
      <c r="AC26" s="51"/>
      <c r="AD26" s="324">
        <f>SUM(AD19:AE25)</f>
        <v>0</v>
      </c>
      <c r="AE26" s="325"/>
      <c r="AF26" s="171">
        <f>SUM(AF19:AG25)</f>
        <v>0</v>
      </c>
      <c r="AG26" s="171"/>
      <c r="AH26" s="171">
        <f>SUM(AH19:AI25)</f>
        <v>0</v>
      </c>
      <c r="AI26" s="113"/>
      <c r="AK26" s="50"/>
      <c r="AL26" s="51"/>
      <c r="AM26" s="50"/>
      <c r="AN26" s="51"/>
      <c r="AO26" s="324">
        <f>SUM(AO19:AP25)</f>
        <v>0</v>
      </c>
      <c r="AP26" s="325"/>
      <c r="AQ26" s="171">
        <f>SUM(AQ19:AR25)</f>
        <v>0</v>
      </c>
      <c r="AR26" s="171"/>
      <c r="AS26" s="171">
        <f>SUM(AS19:AT25)</f>
        <v>0</v>
      </c>
      <c r="AT26" s="113"/>
    </row>
    <row r="27" spans="1:60" ht="11.1" customHeight="1" x14ac:dyDescent="0.25">
      <c r="A27" s="321"/>
      <c r="B27" s="75"/>
      <c r="C27" s="50"/>
      <c r="D27" s="50"/>
      <c r="E27" s="50"/>
      <c r="F27" s="51"/>
      <c r="G27" s="51"/>
      <c r="H27" s="50"/>
      <c r="I27" s="51"/>
      <c r="J27" s="50"/>
      <c r="K27" s="51"/>
      <c r="L27" s="76"/>
      <c r="M27" s="76"/>
      <c r="N27" s="77"/>
      <c r="O27" s="77"/>
      <c r="P27" s="77"/>
      <c r="Q27" s="77"/>
      <c r="R27" s="53"/>
      <c r="S27" s="9"/>
      <c r="T27" s="9"/>
      <c r="U27" s="9"/>
      <c r="V27" s="9"/>
      <c r="W27" s="9"/>
      <c r="X27" s="9"/>
      <c r="Y27" s="9"/>
      <c r="Z27" s="9"/>
      <c r="AA27" s="9"/>
      <c r="AB27" s="50"/>
      <c r="AC27" s="51"/>
      <c r="AD27" s="50"/>
      <c r="AE27" s="51"/>
      <c r="AF27" s="76"/>
      <c r="AG27" s="76"/>
      <c r="AH27" s="77"/>
      <c r="AI27" s="77"/>
      <c r="AJ27" s="77"/>
      <c r="AK27" s="77"/>
      <c r="AL27" s="53"/>
      <c r="AM27" s="9"/>
      <c r="AN27" s="9"/>
      <c r="AO27" s="9"/>
      <c r="AP27" s="9"/>
      <c r="AQ27" s="9"/>
      <c r="AR27" s="9"/>
      <c r="AS27" s="9"/>
      <c r="AT27" s="9"/>
    </row>
    <row r="28" spans="1:60" ht="9.9" customHeight="1" x14ac:dyDescent="0.25">
      <c r="A28" s="321"/>
      <c r="B28" s="3"/>
      <c r="C28" s="394" t="s">
        <v>71</v>
      </c>
      <c r="D28" s="394"/>
      <c r="E28" s="394"/>
      <c r="F28" s="394"/>
      <c r="G28" s="394"/>
      <c r="H28" s="394"/>
      <c r="I28" s="394"/>
      <c r="J28" s="394"/>
      <c r="K28" s="394"/>
      <c r="L28" s="394"/>
      <c r="M28" s="394"/>
      <c r="N28" s="394"/>
      <c r="O28" s="394"/>
      <c r="P28" s="394"/>
      <c r="Q28" s="394"/>
      <c r="R28" s="394"/>
      <c r="S28" s="394"/>
      <c r="T28" s="394"/>
      <c r="U28" s="394"/>
      <c r="V28" s="394"/>
      <c r="W28" s="394"/>
      <c r="X28" s="394"/>
      <c r="Y28" s="394"/>
      <c r="Z28" s="394"/>
      <c r="AA28" s="394"/>
      <c r="AB28" s="394"/>
      <c r="AC28" s="394"/>
      <c r="AD28" s="394"/>
      <c r="AE28" s="394"/>
      <c r="AF28" s="394"/>
      <c r="AG28" s="394"/>
      <c r="AH28" s="394"/>
      <c r="AI28" s="4"/>
      <c r="AJ28" s="330" t="str">
        <f>CONCATENATE("Synthèse ",AN3&amp;" ",NumSemaine)</f>
        <v>Synthèse Semaine : 5</v>
      </c>
      <c r="AK28" s="330"/>
      <c r="AL28" s="330"/>
      <c r="AM28" s="330"/>
      <c r="AN28" s="330"/>
      <c r="AO28" s="330"/>
      <c r="AP28" s="330"/>
      <c r="AQ28" s="330"/>
      <c r="AR28" s="330"/>
      <c r="AS28" s="330"/>
      <c r="AT28" s="331"/>
    </row>
    <row r="29" spans="1:60" s="5" customFormat="1" ht="12.75" customHeight="1" x14ac:dyDescent="0.25">
      <c r="A29" s="321"/>
      <c r="B29" s="275"/>
      <c r="C29" s="395"/>
      <c r="D29" s="396"/>
      <c r="E29" s="396"/>
      <c r="F29" s="396"/>
      <c r="G29" s="396"/>
      <c r="H29" s="396"/>
      <c r="I29" s="396"/>
      <c r="J29" s="396"/>
      <c r="K29" s="396"/>
      <c r="L29" s="396"/>
      <c r="M29" s="396"/>
      <c r="N29" s="396"/>
      <c r="O29" s="396"/>
      <c r="P29" s="396"/>
      <c r="Q29" s="396"/>
      <c r="R29" s="396"/>
      <c r="S29" s="396"/>
      <c r="T29" s="396"/>
      <c r="U29" s="396"/>
      <c r="V29" s="396"/>
      <c r="W29" s="396"/>
      <c r="X29" s="396"/>
      <c r="Y29" s="396"/>
      <c r="Z29" s="396"/>
      <c r="AA29" s="396"/>
      <c r="AB29" s="396"/>
      <c r="AC29" s="396"/>
      <c r="AD29" s="396"/>
      <c r="AE29" s="396"/>
      <c r="AF29" s="396"/>
      <c r="AG29" s="396"/>
      <c r="AH29" s="396"/>
      <c r="AJ29" s="332" t="s">
        <v>76</v>
      </c>
      <c r="AK29" s="332"/>
      <c r="AL29" s="332"/>
      <c r="AM29" s="332"/>
      <c r="AN29" s="332"/>
      <c r="AO29" s="332"/>
      <c r="AP29" s="332"/>
      <c r="AQ29" s="332"/>
      <c r="AR29" s="332"/>
      <c r="AS29" s="332"/>
      <c r="AT29" s="333"/>
      <c r="AU29" s="4"/>
      <c r="AV29" s="4"/>
      <c r="AW29" s="4"/>
      <c r="AZ29" s="4"/>
      <c r="BA29" s="4"/>
      <c r="BB29" s="4"/>
      <c r="BC29" s="4"/>
      <c r="BD29" s="4"/>
      <c r="BE29" s="4"/>
      <c r="BF29" s="4"/>
      <c r="BG29" s="4"/>
      <c r="BH29" s="4"/>
    </row>
    <row r="30" spans="1:60" ht="12.75" customHeight="1" x14ac:dyDescent="0.25">
      <c r="A30" s="321"/>
      <c r="B30" s="275"/>
      <c r="C30" s="396"/>
      <c r="D30" s="396"/>
      <c r="E30" s="396"/>
      <c r="F30" s="396"/>
      <c r="G30" s="396"/>
      <c r="H30" s="396"/>
      <c r="I30" s="396"/>
      <c r="J30" s="396"/>
      <c r="K30" s="396"/>
      <c r="L30" s="396"/>
      <c r="M30" s="396"/>
      <c r="N30" s="396"/>
      <c r="O30" s="396"/>
      <c r="P30" s="396"/>
      <c r="Q30" s="396"/>
      <c r="R30" s="396"/>
      <c r="S30" s="396"/>
      <c r="T30" s="396"/>
      <c r="U30" s="396"/>
      <c r="V30" s="396"/>
      <c r="W30" s="396"/>
      <c r="X30" s="396"/>
      <c r="Y30" s="396"/>
      <c r="Z30" s="396"/>
      <c r="AA30" s="396"/>
      <c r="AB30" s="396"/>
      <c r="AC30" s="396"/>
      <c r="AD30" s="396"/>
      <c r="AE30" s="396"/>
      <c r="AF30" s="396"/>
      <c r="AG30" s="396"/>
      <c r="AH30" s="396"/>
      <c r="AI30" s="4"/>
      <c r="AJ30" s="322" t="s">
        <v>52</v>
      </c>
      <c r="AK30" s="313"/>
      <c r="AL30" s="313"/>
      <c r="AM30" s="313" t="s">
        <v>34</v>
      </c>
      <c r="AN30" s="313"/>
      <c r="AO30" s="313" t="s">
        <v>77</v>
      </c>
      <c r="AP30" s="313"/>
      <c r="AQ30" s="345" t="s">
        <v>57</v>
      </c>
      <c r="AR30" s="345"/>
      <c r="AS30" s="345" t="s">
        <v>58</v>
      </c>
      <c r="AT30" s="347"/>
    </row>
    <row r="31" spans="1:60" ht="12.75" customHeight="1" x14ac:dyDescent="0.25">
      <c r="A31" s="321"/>
      <c r="B31" s="275"/>
      <c r="C31" s="396"/>
      <c r="D31" s="396"/>
      <c r="E31" s="396"/>
      <c r="F31" s="396"/>
      <c r="G31" s="396"/>
      <c r="H31" s="396"/>
      <c r="I31" s="396"/>
      <c r="J31" s="396"/>
      <c r="K31" s="396"/>
      <c r="L31" s="396"/>
      <c r="M31" s="396"/>
      <c r="N31" s="396"/>
      <c r="O31" s="396"/>
      <c r="P31" s="396"/>
      <c r="Q31" s="396"/>
      <c r="R31" s="396"/>
      <c r="S31" s="396"/>
      <c r="T31" s="396"/>
      <c r="U31" s="396"/>
      <c r="V31" s="396"/>
      <c r="W31" s="396"/>
      <c r="X31" s="396"/>
      <c r="Y31" s="396"/>
      <c r="Z31" s="396"/>
      <c r="AA31" s="396"/>
      <c r="AB31" s="396"/>
      <c r="AC31" s="396"/>
      <c r="AD31" s="396"/>
      <c r="AE31" s="396"/>
      <c r="AF31" s="396"/>
      <c r="AG31" s="396"/>
      <c r="AH31" s="396"/>
      <c r="AI31" s="4"/>
      <c r="AJ31" s="323"/>
      <c r="AK31" s="314"/>
      <c r="AL31" s="314"/>
      <c r="AM31" s="314"/>
      <c r="AN31" s="314"/>
      <c r="AO31" s="314"/>
      <c r="AP31" s="314"/>
      <c r="AQ31" s="346"/>
      <c r="AR31" s="346"/>
      <c r="AS31" s="346"/>
      <c r="AT31" s="348"/>
    </row>
    <row r="32" spans="1:60" ht="11.1" customHeight="1" x14ac:dyDescent="0.25">
      <c r="A32" s="321"/>
      <c r="B32" s="275"/>
      <c r="C32" s="396"/>
      <c r="D32" s="396"/>
      <c r="E32" s="396"/>
      <c r="F32" s="396"/>
      <c r="G32" s="396"/>
      <c r="H32" s="396"/>
      <c r="I32" s="396"/>
      <c r="J32" s="396"/>
      <c r="K32" s="396"/>
      <c r="L32" s="396"/>
      <c r="M32" s="396"/>
      <c r="N32" s="396"/>
      <c r="O32" s="396"/>
      <c r="P32" s="396"/>
      <c r="Q32" s="396"/>
      <c r="R32" s="396"/>
      <c r="S32" s="396"/>
      <c r="T32" s="396"/>
      <c r="U32" s="396"/>
      <c r="V32" s="396"/>
      <c r="W32" s="396"/>
      <c r="X32" s="396"/>
      <c r="Y32" s="396"/>
      <c r="Z32" s="396"/>
      <c r="AA32" s="396"/>
      <c r="AB32" s="396"/>
      <c r="AC32" s="396"/>
      <c r="AD32" s="396"/>
      <c r="AE32" s="396"/>
      <c r="AF32" s="396"/>
      <c r="AG32" s="396"/>
      <c r="AH32" s="396"/>
      <c r="AI32" s="4"/>
      <c r="AJ32" s="46" t="s">
        <v>4</v>
      </c>
      <c r="AK32" s="54"/>
      <c r="AL32" s="55"/>
      <c r="AM32" s="315">
        <f>+AA7</f>
        <v>0</v>
      </c>
      <c r="AN32" s="316"/>
      <c r="AO32" s="169">
        <f t="shared" ref="AO32:AO38" si="6">+S19+AD19+AO19</f>
        <v>0</v>
      </c>
      <c r="AP32" s="170"/>
      <c r="AQ32" s="251">
        <f t="shared" ref="AQ32:AQ38" si="7">+U19+AF19+AQ19</f>
        <v>0</v>
      </c>
      <c r="AR32" s="251"/>
      <c r="AS32" s="251">
        <f t="shared" ref="AS32:AS38" si="8">+W19+AH19+AS19</f>
        <v>0</v>
      </c>
      <c r="AT32" s="246"/>
    </row>
    <row r="33" spans="1:66" ht="11.1" customHeight="1" x14ac:dyDescent="0.25">
      <c r="A33" s="321"/>
      <c r="B33" s="275"/>
      <c r="C33" s="396"/>
      <c r="D33" s="396"/>
      <c r="E33" s="396"/>
      <c r="F33" s="396"/>
      <c r="G33" s="396"/>
      <c r="H33" s="396"/>
      <c r="I33" s="396"/>
      <c r="J33" s="396"/>
      <c r="K33" s="396"/>
      <c r="L33" s="396"/>
      <c r="M33" s="396"/>
      <c r="N33" s="396"/>
      <c r="O33" s="396"/>
      <c r="P33" s="396"/>
      <c r="Q33" s="396"/>
      <c r="R33" s="396"/>
      <c r="S33" s="396"/>
      <c r="T33" s="396"/>
      <c r="U33" s="396"/>
      <c r="V33" s="396"/>
      <c r="W33" s="396"/>
      <c r="X33" s="396"/>
      <c r="Y33" s="396"/>
      <c r="Z33" s="396"/>
      <c r="AA33" s="396"/>
      <c r="AB33" s="396"/>
      <c r="AC33" s="396"/>
      <c r="AD33" s="396"/>
      <c r="AE33" s="396"/>
      <c r="AF33" s="396"/>
      <c r="AG33" s="396"/>
      <c r="AH33" s="396"/>
      <c r="AI33" s="4"/>
      <c r="AJ33" s="47" t="s">
        <v>5</v>
      </c>
      <c r="AK33" s="56"/>
      <c r="AL33" s="57"/>
      <c r="AM33" s="317">
        <f t="shared" ref="AM33:AM38" si="9">+AA8</f>
        <v>0</v>
      </c>
      <c r="AN33" s="318"/>
      <c r="AO33" s="161">
        <f t="shared" si="6"/>
        <v>0</v>
      </c>
      <c r="AP33" s="162"/>
      <c r="AQ33" s="130">
        <f t="shared" si="7"/>
        <v>0</v>
      </c>
      <c r="AR33" s="130"/>
      <c r="AS33" s="130">
        <f t="shared" si="8"/>
        <v>0</v>
      </c>
      <c r="AT33" s="247"/>
    </row>
    <row r="34" spans="1:66" ht="11.1" customHeight="1" x14ac:dyDescent="0.25">
      <c r="A34" s="321"/>
      <c r="B34" s="275"/>
      <c r="C34" s="396"/>
      <c r="D34" s="396"/>
      <c r="E34" s="396"/>
      <c r="F34" s="396"/>
      <c r="G34" s="396"/>
      <c r="H34" s="396"/>
      <c r="I34" s="396"/>
      <c r="J34" s="396"/>
      <c r="K34" s="396"/>
      <c r="L34" s="396"/>
      <c r="M34" s="396"/>
      <c r="N34" s="396"/>
      <c r="O34" s="396"/>
      <c r="P34" s="396"/>
      <c r="Q34" s="396"/>
      <c r="R34" s="396"/>
      <c r="S34" s="396"/>
      <c r="T34" s="396"/>
      <c r="U34" s="396"/>
      <c r="V34" s="396"/>
      <c r="W34" s="396"/>
      <c r="X34" s="396"/>
      <c r="Y34" s="396"/>
      <c r="Z34" s="396"/>
      <c r="AA34" s="396"/>
      <c r="AB34" s="396"/>
      <c r="AC34" s="396"/>
      <c r="AD34" s="396"/>
      <c r="AE34" s="396"/>
      <c r="AF34" s="396"/>
      <c r="AG34" s="396"/>
      <c r="AH34" s="396"/>
      <c r="AI34" s="4"/>
      <c r="AJ34" s="47" t="s">
        <v>6</v>
      </c>
      <c r="AK34" s="56"/>
      <c r="AL34" s="57"/>
      <c r="AM34" s="317">
        <f t="shared" si="9"/>
        <v>0</v>
      </c>
      <c r="AN34" s="318"/>
      <c r="AO34" s="161">
        <f t="shared" si="6"/>
        <v>0</v>
      </c>
      <c r="AP34" s="162"/>
      <c r="AQ34" s="130">
        <f t="shared" si="7"/>
        <v>0</v>
      </c>
      <c r="AR34" s="130"/>
      <c r="AS34" s="130">
        <f t="shared" si="8"/>
        <v>0</v>
      </c>
      <c r="AT34" s="247"/>
    </row>
    <row r="35" spans="1:66" ht="11.1" customHeight="1" x14ac:dyDescent="0.25">
      <c r="A35" s="321"/>
      <c r="B35" s="275"/>
      <c r="C35" s="396"/>
      <c r="D35" s="396"/>
      <c r="E35" s="396"/>
      <c r="F35" s="396"/>
      <c r="G35" s="396"/>
      <c r="H35" s="396"/>
      <c r="I35" s="396"/>
      <c r="J35" s="396"/>
      <c r="K35" s="396"/>
      <c r="L35" s="396"/>
      <c r="M35" s="396"/>
      <c r="N35" s="396"/>
      <c r="O35" s="396"/>
      <c r="P35" s="396"/>
      <c r="Q35" s="396"/>
      <c r="R35" s="396"/>
      <c r="S35" s="396"/>
      <c r="T35" s="396"/>
      <c r="U35" s="396"/>
      <c r="V35" s="396"/>
      <c r="W35" s="396"/>
      <c r="X35" s="396"/>
      <c r="Y35" s="396"/>
      <c r="Z35" s="396"/>
      <c r="AA35" s="396"/>
      <c r="AB35" s="396"/>
      <c r="AC35" s="396"/>
      <c r="AD35" s="396"/>
      <c r="AE35" s="396"/>
      <c r="AF35" s="396"/>
      <c r="AG35" s="396"/>
      <c r="AH35" s="396"/>
      <c r="AI35" s="4"/>
      <c r="AJ35" s="47" t="s">
        <v>7</v>
      </c>
      <c r="AK35" s="56"/>
      <c r="AL35" s="57"/>
      <c r="AM35" s="317">
        <f t="shared" si="9"/>
        <v>0</v>
      </c>
      <c r="AN35" s="318"/>
      <c r="AO35" s="161">
        <f t="shared" si="6"/>
        <v>0</v>
      </c>
      <c r="AP35" s="162"/>
      <c r="AQ35" s="130">
        <f t="shared" si="7"/>
        <v>0</v>
      </c>
      <c r="AR35" s="130"/>
      <c r="AS35" s="130">
        <f t="shared" si="8"/>
        <v>0</v>
      </c>
      <c r="AT35" s="247"/>
    </row>
    <row r="36" spans="1:66" ht="11.1" customHeight="1" x14ac:dyDescent="0.25">
      <c r="A36" s="321"/>
      <c r="B36" s="275"/>
      <c r="C36" s="396"/>
      <c r="D36" s="396"/>
      <c r="E36" s="396"/>
      <c r="F36" s="396"/>
      <c r="G36" s="396"/>
      <c r="H36" s="396"/>
      <c r="I36" s="396"/>
      <c r="J36" s="396"/>
      <c r="K36" s="396"/>
      <c r="L36" s="396"/>
      <c r="M36" s="396"/>
      <c r="N36" s="396"/>
      <c r="O36" s="396"/>
      <c r="P36" s="396"/>
      <c r="Q36" s="396"/>
      <c r="R36" s="396"/>
      <c r="S36" s="396"/>
      <c r="T36" s="396"/>
      <c r="U36" s="396"/>
      <c r="V36" s="396"/>
      <c r="W36" s="396"/>
      <c r="X36" s="396"/>
      <c r="Y36" s="396"/>
      <c r="Z36" s="396"/>
      <c r="AA36" s="396"/>
      <c r="AB36" s="396"/>
      <c r="AC36" s="396"/>
      <c r="AD36" s="396"/>
      <c r="AE36" s="396"/>
      <c r="AF36" s="396"/>
      <c r="AG36" s="396"/>
      <c r="AH36" s="396"/>
      <c r="AI36" s="4"/>
      <c r="AJ36" s="47" t="s">
        <v>8</v>
      </c>
      <c r="AK36" s="56"/>
      <c r="AL36" s="57"/>
      <c r="AM36" s="317">
        <f t="shared" si="9"/>
        <v>0</v>
      </c>
      <c r="AN36" s="318"/>
      <c r="AO36" s="161">
        <f t="shared" si="6"/>
        <v>0</v>
      </c>
      <c r="AP36" s="162"/>
      <c r="AQ36" s="130">
        <f t="shared" si="7"/>
        <v>0</v>
      </c>
      <c r="AR36" s="130"/>
      <c r="AS36" s="130">
        <f t="shared" si="8"/>
        <v>0</v>
      </c>
      <c r="AT36" s="247"/>
    </row>
    <row r="37" spans="1:66" ht="11.1" customHeight="1" x14ac:dyDescent="0.25">
      <c r="A37" s="321"/>
      <c r="B37" s="275"/>
      <c r="C37" s="396"/>
      <c r="D37" s="396"/>
      <c r="E37" s="396"/>
      <c r="F37" s="396"/>
      <c r="G37" s="396"/>
      <c r="H37" s="396"/>
      <c r="I37" s="396"/>
      <c r="J37" s="396"/>
      <c r="K37" s="396"/>
      <c r="L37" s="396"/>
      <c r="M37" s="396"/>
      <c r="N37" s="396"/>
      <c r="O37" s="396"/>
      <c r="P37" s="396"/>
      <c r="Q37" s="396"/>
      <c r="R37" s="396"/>
      <c r="S37" s="396"/>
      <c r="T37" s="396"/>
      <c r="U37" s="396"/>
      <c r="V37" s="396"/>
      <c r="W37" s="396"/>
      <c r="X37" s="396"/>
      <c r="Y37" s="396"/>
      <c r="Z37" s="396"/>
      <c r="AA37" s="396"/>
      <c r="AB37" s="396"/>
      <c r="AC37" s="396"/>
      <c r="AD37" s="396"/>
      <c r="AE37" s="396"/>
      <c r="AF37" s="396"/>
      <c r="AG37" s="396"/>
      <c r="AH37" s="396"/>
      <c r="AI37" s="4"/>
      <c r="AJ37" s="47" t="s">
        <v>9</v>
      </c>
      <c r="AK37" s="56"/>
      <c r="AL37" s="57"/>
      <c r="AM37" s="317">
        <f t="shared" si="9"/>
        <v>0</v>
      </c>
      <c r="AN37" s="318"/>
      <c r="AO37" s="161">
        <f t="shared" si="6"/>
        <v>0</v>
      </c>
      <c r="AP37" s="162"/>
      <c r="AQ37" s="130">
        <f t="shared" si="7"/>
        <v>0</v>
      </c>
      <c r="AR37" s="130"/>
      <c r="AS37" s="130">
        <f t="shared" si="8"/>
        <v>0</v>
      </c>
      <c r="AT37" s="247"/>
    </row>
    <row r="38" spans="1:66" ht="11.1" customHeight="1" x14ac:dyDescent="0.25">
      <c r="A38" s="321"/>
      <c r="B38" s="275"/>
      <c r="C38" s="396"/>
      <c r="D38" s="396"/>
      <c r="E38" s="396"/>
      <c r="F38" s="396"/>
      <c r="G38" s="396"/>
      <c r="H38" s="396"/>
      <c r="I38" s="396"/>
      <c r="J38" s="396"/>
      <c r="K38" s="396"/>
      <c r="L38" s="396"/>
      <c r="M38" s="396"/>
      <c r="N38" s="396"/>
      <c r="O38" s="396"/>
      <c r="P38" s="396"/>
      <c r="Q38" s="396"/>
      <c r="R38" s="396"/>
      <c r="S38" s="396"/>
      <c r="T38" s="396"/>
      <c r="U38" s="396"/>
      <c r="V38" s="396"/>
      <c r="W38" s="396"/>
      <c r="X38" s="396"/>
      <c r="Y38" s="396"/>
      <c r="Z38" s="396"/>
      <c r="AA38" s="396"/>
      <c r="AB38" s="396"/>
      <c r="AC38" s="396"/>
      <c r="AD38" s="396"/>
      <c r="AE38" s="396"/>
      <c r="AF38" s="396"/>
      <c r="AG38" s="396"/>
      <c r="AH38" s="396"/>
      <c r="AI38" s="4"/>
      <c r="AJ38" s="48" t="s">
        <v>10</v>
      </c>
      <c r="AK38" s="58"/>
      <c r="AL38" s="59"/>
      <c r="AM38" s="298">
        <f t="shared" si="9"/>
        <v>0</v>
      </c>
      <c r="AN38" s="299"/>
      <c r="AO38" s="163">
        <f t="shared" si="6"/>
        <v>0</v>
      </c>
      <c r="AP38" s="164"/>
      <c r="AQ38" s="131">
        <f t="shared" si="7"/>
        <v>0</v>
      </c>
      <c r="AR38" s="131"/>
      <c r="AS38" s="131">
        <f t="shared" si="8"/>
        <v>0</v>
      </c>
      <c r="AT38" s="111"/>
    </row>
    <row r="39" spans="1:66" ht="11.1" customHeight="1" x14ac:dyDescent="0.25">
      <c r="A39" s="321"/>
      <c r="B39" s="275"/>
      <c r="C39" s="396"/>
      <c r="D39" s="396"/>
      <c r="E39" s="396"/>
      <c r="F39" s="396"/>
      <c r="G39" s="396"/>
      <c r="H39" s="396"/>
      <c r="I39" s="396"/>
      <c r="J39" s="396"/>
      <c r="K39" s="396"/>
      <c r="L39" s="396"/>
      <c r="M39" s="396"/>
      <c r="N39" s="396"/>
      <c r="O39" s="396"/>
      <c r="P39" s="396"/>
      <c r="Q39" s="396"/>
      <c r="R39" s="396"/>
      <c r="S39" s="396"/>
      <c r="T39" s="396"/>
      <c r="U39" s="396"/>
      <c r="V39" s="396"/>
      <c r="W39" s="396"/>
      <c r="X39" s="396"/>
      <c r="Y39" s="396"/>
      <c r="Z39" s="396"/>
      <c r="AA39" s="396"/>
      <c r="AB39" s="396"/>
      <c r="AC39" s="396"/>
      <c r="AD39" s="396"/>
      <c r="AE39" s="396"/>
      <c r="AF39" s="396"/>
      <c r="AG39" s="396"/>
      <c r="AH39" s="396"/>
      <c r="AI39" s="4"/>
      <c r="AJ39" s="49" t="s">
        <v>11</v>
      </c>
      <c r="AK39" s="60"/>
      <c r="AL39" s="61"/>
      <c r="AM39" s="298">
        <f>+Astreinte_Nb_UBA</f>
        <v>0</v>
      </c>
      <c r="AN39" s="299"/>
      <c r="AO39" s="324">
        <f>SUM(AO32:AP38)</f>
        <v>0</v>
      </c>
      <c r="AP39" s="325"/>
      <c r="AQ39" s="171">
        <f>SUM(AQ32:AR38)</f>
        <v>0</v>
      </c>
      <c r="AR39" s="171"/>
      <c r="AS39" s="171">
        <f>SUM(AS32:AT38)</f>
        <v>0</v>
      </c>
      <c r="AT39" s="113"/>
    </row>
    <row r="40" spans="1:66" ht="15" customHeight="1" x14ac:dyDescent="0.15">
      <c r="A40" s="65"/>
      <c r="B40" s="65"/>
      <c r="C40" s="50"/>
      <c r="D40" s="50"/>
      <c r="E40" s="50"/>
      <c r="F40" s="51"/>
      <c r="G40" s="51"/>
      <c r="H40" s="50"/>
      <c r="I40" s="51"/>
      <c r="J40" s="50"/>
      <c r="K40" s="51"/>
      <c r="L40" s="76"/>
      <c r="AH40" s="4"/>
      <c r="AI40" s="4"/>
      <c r="AJ40" s="79"/>
      <c r="AO40" s="87"/>
      <c r="AP40" s="87"/>
    </row>
    <row r="41" spans="1:66" ht="15" customHeight="1" x14ac:dyDescent="0.15">
      <c r="A41" s="7" t="str">
        <f>+'FT-TIS'!A41</f>
        <v>BT.F098-03fr</v>
      </c>
      <c r="B41" s="4"/>
      <c r="O41" s="4"/>
      <c r="P41" s="3"/>
      <c r="Q41" s="3"/>
      <c r="R41" s="3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</row>
    <row r="42" spans="1:66" ht="15" customHeight="1" x14ac:dyDescent="0.25"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</row>
    <row r="43" spans="1:66" ht="15" customHeight="1" x14ac:dyDescent="0.25"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</row>
    <row r="44" spans="1:66" ht="15" customHeight="1" x14ac:dyDescent="0.25">
      <c r="H44" s="4"/>
      <c r="I44" s="4"/>
      <c r="J44" s="4"/>
      <c r="K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</row>
    <row r="45" spans="1:66" ht="12" customHeight="1" x14ac:dyDescent="0.25">
      <c r="H45" s="4"/>
      <c r="I45" s="4"/>
      <c r="J45" s="4"/>
      <c r="K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</row>
    <row r="46" spans="1:66" ht="12" customHeight="1" x14ac:dyDescent="0.25">
      <c r="H46" s="4"/>
      <c r="I46" s="4"/>
      <c r="J46" s="4"/>
      <c r="K46" s="4"/>
    </row>
    <row r="47" spans="1:66" s="1" customFormat="1" ht="12" customHeight="1" x14ac:dyDescent="0.25">
      <c r="E47" s="2"/>
      <c r="F47" s="2"/>
      <c r="G47" s="2"/>
      <c r="H47" s="4"/>
      <c r="I47" s="4"/>
      <c r="J47" s="4"/>
      <c r="K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</row>
  </sheetData>
  <sheetProtection algorithmName="SHA-512" hashValue="WUxYhlsGyhE/iEXb70uOXvT5EB8a5n0BCHM5utg+qleRjkyo30fuJysaGwVYrV7qFvUg6bf3GjYTLr3GAPlQCw==" saltValue="6f0H/gmCuTb40JiMxtkssw==" spinCount="100000" sheet="1" selectLockedCells="1"/>
  <mergeCells count="295">
    <mergeCell ref="A1:AT1"/>
    <mergeCell ref="H3:U3"/>
    <mergeCell ref="V3:W3"/>
    <mergeCell ref="Y3:AL3"/>
    <mergeCell ref="AN3:AR3"/>
    <mergeCell ref="AS3:AT3"/>
    <mergeCell ref="C28:AH28"/>
    <mergeCell ref="C29:AH39"/>
    <mergeCell ref="S6:T6"/>
    <mergeCell ref="U6:V6"/>
    <mergeCell ref="W6:X6"/>
    <mergeCell ref="Y6:Z6"/>
    <mergeCell ref="A5:A14"/>
    <mergeCell ref="B5:B14"/>
    <mergeCell ref="C6:E6"/>
    <mergeCell ref="F6:G6"/>
    <mergeCell ref="M6:N6"/>
    <mergeCell ref="O6:P6"/>
    <mergeCell ref="Q6:R6"/>
    <mergeCell ref="U8:V8"/>
    <mergeCell ref="W8:X8"/>
    <mergeCell ref="Y8:Z8"/>
    <mergeCell ref="W7:X7"/>
    <mergeCell ref="Y7:Z7"/>
    <mergeCell ref="M8:N8"/>
    <mergeCell ref="O8:P8"/>
    <mergeCell ref="Q8:R8"/>
    <mergeCell ref="S8:T8"/>
    <mergeCell ref="F7:G7"/>
    <mergeCell ref="M7:N7"/>
    <mergeCell ref="O7:P7"/>
    <mergeCell ref="Q7:R7"/>
    <mergeCell ref="S7:T7"/>
    <mergeCell ref="U7:V7"/>
    <mergeCell ref="Y10:Z10"/>
    <mergeCell ref="F11:G11"/>
    <mergeCell ref="M11:N11"/>
    <mergeCell ref="O11:P11"/>
    <mergeCell ref="Q11:R11"/>
    <mergeCell ref="S11:T11"/>
    <mergeCell ref="U11:V11"/>
    <mergeCell ref="W9:X9"/>
    <mergeCell ref="Y9:Z9"/>
    <mergeCell ref="F10:G10"/>
    <mergeCell ref="M10:N10"/>
    <mergeCell ref="O10:P10"/>
    <mergeCell ref="Q10:R10"/>
    <mergeCell ref="S10:T10"/>
    <mergeCell ref="U10:V10"/>
    <mergeCell ref="F9:G9"/>
    <mergeCell ref="M9:N9"/>
    <mergeCell ref="O9:P9"/>
    <mergeCell ref="Q9:R9"/>
    <mergeCell ref="S9:T9"/>
    <mergeCell ref="U9:V9"/>
    <mergeCell ref="H10:L10"/>
    <mergeCell ref="F8:G8"/>
    <mergeCell ref="B16:B26"/>
    <mergeCell ref="F19:G19"/>
    <mergeCell ref="W13:X13"/>
    <mergeCell ref="Y13:Z13"/>
    <mergeCell ref="U14:V14"/>
    <mergeCell ref="W14:X14"/>
    <mergeCell ref="Y14:Z14"/>
    <mergeCell ref="W12:X12"/>
    <mergeCell ref="Y12:Z12"/>
    <mergeCell ref="F13:G13"/>
    <mergeCell ref="M13:N13"/>
    <mergeCell ref="O13:P13"/>
    <mergeCell ref="Q13:R13"/>
    <mergeCell ref="S13:T13"/>
    <mergeCell ref="U13:V13"/>
    <mergeCell ref="F12:G12"/>
    <mergeCell ref="M12:N12"/>
    <mergeCell ref="O12:P12"/>
    <mergeCell ref="Q12:R12"/>
    <mergeCell ref="S12:T12"/>
    <mergeCell ref="U12:V12"/>
    <mergeCell ref="H20:L20"/>
    <mergeCell ref="H21:L21"/>
    <mergeCell ref="H22:L22"/>
    <mergeCell ref="AA6:AB6"/>
    <mergeCell ref="O16:X16"/>
    <mergeCell ref="AK16:AT16"/>
    <mergeCell ref="H24:L24"/>
    <mergeCell ref="H25:L25"/>
    <mergeCell ref="H6:L6"/>
    <mergeCell ref="AK21:AL21"/>
    <mergeCell ref="AM21:AN21"/>
    <mergeCell ref="F25:G25"/>
    <mergeCell ref="O25:P25"/>
    <mergeCell ref="Q25:R25"/>
    <mergeCell ref="S25:T25"/>
    <mergeCell ref="F23:G23"/>
    <mergeCell ref="O23:P23"/>
    <mergeCell ref="Q23:R23"/>
    <mergeCell ref="S23:T23"/>
    <mergeCell ref="F24:G24"/>
    <mergeCell ref="O24:P24"/>
    <mergeCell ref="Q24:R24"/>
    <mergeCell ref="S24:T24"/>
    <mergeCell ref="F21:G21"/>
    <mergeCell ref="O21:P21"/>
    <mergeCell ref="Q21:R21"/>
    <mergeCell ref="S21:T21"/>
    <mergeCell ref="AA10:AB10"/>
    <mergeCell ref="H9:L9"/>
    <mergeCell ref="AA9:AB9"/>
    <mergeCell ref="H8:L8"/>
    <mergeCell ref="AA8:AB8"/>
    <mergeCell ref="H7:L7"/>
    <mergeCell ref="AA7:AB7"/>
    <mergeCell ref="S26:T26"/>
    <mergeCell ref="F22:G22"/>
    <mergeCell ref="O22:P22"/>
    <mergeCell ref="Q22:R22"/>
    <mergeCell ref="S22:T22"/>
    <mergeCell ref="O19:P19"/>
    <mergeCell ref="Q19:R19"/>
    <mergeCell ref="S19:T19"/>
    <mergeCell ref="F20:G20"/>
    <mergeCell ref="O20:P20"/>
    <mergeCell ref="Q20:R20"/>
    <mergeCell ref="S20:T20"/>
    <mergeCell ref="W11:X11"/>
    <mergeCell ref="Y11:Z11"/>
    <mergeCell ref="W10:X10"/>
    <mergeCell ref="AA14:AB14"/>
    <mergeCell ref="H13:L13"/>
    <mergeCell ref="AD19:AE19"/>
    <mergeCell ref="AF19:AG19"/>
    <mergeCell ref="AA13:AB13"/>
    <mergeCell ref="H12:L12"/>
    <mergeCell ref="AA12:AB12"/>
    <mergeCell ref="H11:L11"/>
    <mergeCell ref="AA11:AB11"/>
    <mergeCell ref="AH19:AI19"/>
    <mergeCell ref="AD17:AE18"/>
    <mergeCell ref="AF17:AG18"/>
    <mergeCell ref="AH17:AI18"/>
    <mergeCell ref="H19:L19"/>
    <mergeCell ref="W25:X25"/>
    <mergeCell ref="U26:V26"/>
    <mergeCell ref="W26:X26"/>
    <mergeCell ref="U17:V18"/>
    <mergeCell ref="W17:X18"/>
    <mergeCell ref="U22:V22"/>
    <mergeCell ref="W22:X22"/>
    <mergeCell ref="U23:V23"/>
    <mergeCell ref="W23:X23"/>
    <mergeCell ref="U24:V24"/>
    <mergeCell ref="W24:X24"/>
    <mergeCell ref="U19:V19"/>
    <mergeCell ref="W19:X19"/>
    <mergeCell ref="U20:V20"/>
    <mergeCell ref="W20:X20"/>
    <mergeCell ref="U21:V21"/>
    <mergeCell ref="W21:X21"/>
    <mergeCell ref="C5:AB5"/>
    <mergeCell ref="AD5:AT6"/>
    <mergeCell ref="AD7:AT7"/>
    <mergeCell ref="AD8:AT8"/>
    <mergeCell ref="AD9:AT9"/>
    <mergeCell ref="AD10:AT10"/>
    <mergeCell ref="AD11:AT11"/>
    <mergeCell ref="Z25:AA25"/>
    <mergeCell ref="AB25:AC25"/>
    <mergeCell ref="AD25:AE25"/>
    <mergeCell ref="AF25:AG25"/>
    <mergeCell ref="AH25:AI25"/>
    <mergeCell ref="Z24:AA24"/>
    <mergeCell ref="AB24:AC24"/>
    <mergeCell ref="AD24:AE24"/>
    <mergeCell ref="AF24:AG24"/>
    <mergeCell ref="AH24:AI24"/>
    <mergeCell ref="AD22:AE22"/>
    <mergeCell ref="AF22:AG22"/>
    <mergeCell ref="AH22:AI22"/>
    <mergeCell ref="Z23:AA23"/>
    <mergeCell ref="AB23:AC23"/>
    <mergeCell ref="AD23:AE23"/>
    <mergeCell ref="AF23:AG23"/>
    <mergeCell ref="AO17:AP18"/>
    <mergeCell ref="AQ17:AR18"/>
    <mergeCell ref="AS17:AT18"/>
    <mergeCell ref="AO30:AP31"/>
    <mergeCell ref="AQ30:AR31"/>
    <mergeCell ref="AS30:AT31"/>
    <mergeCell ref="AD12:AT12"/>
    <mergeCell ref="AD13:AT13"/>
    <mergeCell ref="Z16:AI16"/>
    <mergeCell ref="AD26:AE26"/>
    <mergeCell ref="AF26:AG26"/>
    <mergeCell ref="AH26:AI26"/>
    <mergeCell ref="AH23:AI23"/>
    <mergeCell ref="AD20:AE20"/>
    <mergeCell ref="AF20:AG20"/>
    <mergeCell ref="AH20:AI20"/>
    <mergeCell ref="Z21:AA21"/>
    <mergeCell ref="AB21:AC21"/>
    <mergeCell ref="AD21:AE21"/>
    <mergeCell ref="AF21:AG21"/>
    <mergeCell ref="AH21:AI21"/>
    <mergeCell ref="Z19:AA19"/>
    <mergeCell ref="AB19:AC19"/>
    <mergeCell ref="Z20:AA20"/>
    <mergeCell ref="AO20:AP20"/>
    <mergeCell ref="AQ20:AR20"/>
    <mergeCell ref="AS20:AT20"/>
    <mergeCell ref="AK19:AL19"/>
    <mergeCell ref="AM19:AN19"/>
    <mergeCell ref="AO19:AP19"/>
    <mergeCell ref="AQ19:AR19"/>
    <mergeCell ref="AS19:AT19"/>
    <mergeCell ref="AK22:AL22"/>
    <mergeCell ref="AM22:AN22"/>
    <mergeCell ref="AO22:AP22"/>
    <mergeCell ref="AQ22:AR22"/>
    <mergeCell ref="AS22:AT22"/>
    <mergeCell ref="AO21:AP21"/>
    <mergeCell ref="AQ21:AR21"/>
    <mergeCell ref="AS21:AT21"/>
    <mergeCell ref="AK20:AL20"/>
    <mergeCell ref="AM20:AN20"/>
    <mergeCell ref="AO33:AP33"/>
    <mergeCell ref="AQ33:AR33"/>
    <mergeCell ref="AS33:AT33"/>
    <mergeCell ref="AO32:AP32"/>
    <mergeCell ref="AQ32:AR32"/>
    <mergeCell ref="AS32:AT32"/>
    <mergeCell ref="AS36:AT36"/>
    <mergeCell ref="AK23:AL23"/>
    <mergeCell ref="AM23:AN23"/>
    <mergeCell ref="AO23:AP23"/>
    <mergeCell ref="AQ23:AR23"/>
    <mergeCell ref="AS23:AT23"/>
    <mergeCell ref="AO35:AP35"/>
    <mergeCell ref="AQ35:AR35"/>
    <mergeCell ref="AS35:AT35"/>
    <mergeCell ref="AO34:AP34"/>
    <mergeCell ref="AQ34:AR34"/>
    <mergeCell ref="AS34:AT34"/>
    <mergeCell ref="AO24:AP24"/>
    <mergeCell ref="AQ24:AR24"/>
    <mergeCell ref="AS24:AT24"/>
    <mergeCell ref="AO36:AP36"/>
    <mergeCell ref="AQ36:AR36"/>
    <mergeCell ref="A16:A39"/>
    <mergeCell ref="B29:B39"/>
    <mergeCell ref="AJ30:AL31"/>
    <mergeCell ref="AO38:AP38"/>
    <mergeCell ref="AQ38:AR38"/>
    <mergeCell ref="AS38:AT38"/>
    <mergeCell ref="AO26:AP26"/>
    <mergeCell ref="AQ26:AR26"/>
    <mergeCell ref="AS26:AT26"/>
    <mergeCell ref="AO39:AP39"/>
    <mergeCell ref="AQ39:AR39"/>
    <mergeCell ref="AS39:AT39"/>
    <mergeCell ref="AK25:AL25"/>
    <mergeCell ref="AM25:AN25"/>
    <mergeCell ref="AO25:AP25"/>
    <mergeCell ref="AQ25:AR25"/>
    <mergeCell ref="AS25:AT25"/>
    <mergeCell ref="AO37:AP37"/>
    <mergeCell ref="AQ37:AR37"/>
    <mergeCell ref="AS37:AT37"/>
    <mergeCell ref="AM37:AN37"/>
    <mergeCell ref="AM38:AN38"/>
    <mergeCell ref="AJ28:AT28"/>
    <mergeCell ref="AJ29:AT29"/>
    <mergeCell ref="AM39:AN39"/>
    <mergeCell ref="C16:E18"/>
    <mergeCell ref="F16:G18"/>
    <mergeCell ref="H16:L18"/>
    <mergeCell ref="O17:P18"/>
    <mergeCell ref="Q17:R18"/>
    <mergeCell ref="Z17:AA18"/>
    <mergeCell ref="AB17:AC18"/>
    <mergeCell ref="AB20:AC20"/>
    <mergeCell ref="Z22:AA22"/>
    <mergeCell ref="AB22:AC22"/>
    <mergeCell ref="S17:T18"/>
    <mergeCell ref="H23:L23"/>
    <mergeCell ref="AM30:AN31"/>
    <mergeCell ref="AM32:AN32"/>
    <mergeCell ref="AM33:AN33"/>
    <mergeCell ref="AM34:AN34"/>
    <mergeCell ref="AM35:AN35"/>
    <mergeCell ref="AM36:AN36"/>
    <mergeCell ref="AK24:AL24"/>
    <mergeCell ref="AM24:AN24"/>
    <mergeCell ref="AK17:AL18"/>
    <mergeCell ref="AM17:AN18"/>
    <mergeCell ref="U25:V25"/>
  </mergeCells>
  <conditionalFormatting sqref="AB19:AB25 AM19:AM25 Q19:Q25">
    <cfRule type="expression" dxfId="10" priority="7">
      <formula>IF(AND(O19&lt;&gt;"",Q19=""),TRUE,FALSE)</formula>
    </cfRule>
  </conditionalFormatting>
  <conditionalFormatting sqref="Z19:Z25 AK19:AK25 O19:O25">
    <cfRule type="expression" dxfId="9" priority="6">
      <formula>IF(AND(O19="",Q19&lt;&gt;""),TRUE,FALSE)</formula>
    </cfRule>
  </conditionalFormatting>
  <conditionalFormatting sqref="M7:M13 O7:O13">
    <cfRule type="expression" dxfId="8" priority="4">
      <formula>IF(OR(AND($M7&lt;&gt;"",$O7=""),AND($M7="",$O7&lt;&gt;"")),TRUE,FALSE)</formula>
    </cfRule>
  </conditionalFormatting>
  <conditionalFormatting sqref="Q7:Q13 S7:S13">
    <cfRule type="expression" dxfId="7" priority="2">
      <formula>IF(OR(AND($Q7&lt;&gt;"",$S7=""),AND($Q7="",$S7&lt;&gt;"")),TRUE,FALSE)</formula>
    </cfRule>
  </conditionalFormatting>
  <dataValidations count="5">
    <dataValidation type="custom" allowBlank="1" showInputMessage="1" showErrorMessage="1" errorTitle="Saisie des heures" error="Heure de Fin &lt; Heure de Début_x000a_Merci de corriger" sqref="S7:T13" xr:uid="{00000000-0002-0000-0200-000000000000}">
      <formula1>IF(S7&lt;Q7,FALSE,TRUE)</formula1>
    </dataValidation>
    <dataValidation type="custom" allowBlank="1" showInputMessage="1" showErrorMessage="1" errorTitle="Saisie des heures" error="Heure de Fin &lt; Heure de Début_x000a_Merci de corriger" sqref="O19:R25 M7:P13" xr:uid="{00000000-0002-0000-0200-000001000000}">
      <formula1>IF($O7&gt;$Q7,FALSE,TRUE)</formula1>
    </dataValidation>
    <dataValidation type="custom" allowBlank="1" showInputMessage="1" showErrorMessage="1" errorTitle="Saisie des heures" error="Heure de Fin &lt; Heure de Début_x000a_Merci de corriger" sqref="AK19:AN25" xr:uid="{00000000-0002-0000-0200-000002000000}">
      <formula1>IF($AK19&gt;$AM19,FALSE,TRUE)</formula1>
    </dataValidation>
    <dataValidation type="custom" allowBlank="1" showInputMessage="1" showErrorMessage="1" errorTitle="Saisie des heures" error="Heure de Fin &lt; Heure de Début_x000a_Merci de corriger" sqref="Z19:AC25" xr:uid="{00000000-0002-0000-0200-000003000000}">
      <formula1>IF($Z19&gt;$AB19,FALSE,TRUE)</formula1>
    </dataValidation>
    <dataValidation type="custom" allowBlank="1" showInputMessage="1" showErrorMessage="1" errorTitle="Vérification des données" error="L'heure de début PM doit être supéreieure à 12:00" sqref="Q7:R13" xr:uid="{00000000-0002-0000-0200-000004000000}">
      <formula1>IF(Q7&lt;0.5,FALSE,TRUE)</formula1>
    </dataValidation>
  </dataValidations>
  <printOptions horizontalCentered="1"/>
  <pageMargins left="0.19685039370078741" right="0.19685039370078741" top="0.39370078740157483" bottom="0.19685039370078741" header="0.19685039370078741" footer="0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Group Box 1">
              <controlPr defaultSize="0" autoFill="0" autoPict="0">
                <anchor moveWithCells="1">
                  <from>
                    <xdr:col>1</xdr:col>
                    <xdr:colOff>7620</xdr:colOff>
                    <xdr:row>37</xdr:row>
                    <xdr:rowOff>0</xdr:rowOff>
                  </from>
                  <to>
                    <xdr:col>24</xdr:col>
                    <xdr:colOff>144780</xdr:colOff>
                    <xdr:row>39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Group Box 2">
              <controlPr defaultSize="0" autoFill="0" autoPict="0">
                <anchor moveWithCells="1">
                  <from>
                    <xdr:col>1</xdr:col>
                    <xdr:colOff>7620</xdr:colOff>
                    <xdr:row>28</xdr:row>
                    <xdr:rowOff>0</xdr:rowOff>
                  </from>
                  <to>
                    <xdr:col>24</xdr:col>
                    <xdr:colOff>144780</xdr:colOff>
                    <xdr:row>29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C9976BAD-D3B8-42D2-839F-30A967CBA45A}">
            <xm:f>IF(OR($H7=Datas!$B$30,$H7=Datas!$B$31),TRUE,FALSE)</xm:f>
            <x14:dxf>
              <fill>
                <patternFill>
                  <bgColor rgb="FFFFC000"/>
                </patternFill>
              </fill>
            </x14:dxf>
          </x14:cfRule>
          <xm:sqref>H7:H13 H19:H25</xm:sqref>
        </x14:conditionalFormatting>
        <x14:conditionalFormatting xmlns:xm="http://schemas.microsoft.com/office/excel/2006/main">
          <x14:cfRule type="expression" priority="36" id="{B0EDCED1-43F4-49B3-9466-F845208BC72B}">
            <xm:f>IF($F7=Datas!$B$12,TRUE,FALSE)</xm:f>
            <x14:dxf>
              <fill>
                <patternFill>
                  <bgColor rgb="FFFFC000"/>
                </patternFill>
              </fill>
            </x14:dxf>
          </x14:cfRule>
          <xm:sqref>F7:F13 F19:F25 AM32:AN39</xm:sqref>
        </x14:conditionalFormatting>
        <x14:conditionalFormatting xmlns:xm="http://schemas.microsoft.com/office/excel/2006/main">
          <x14:cfRule type="expression" priority="8" id="{53FDF234-E29C-4EA0-9483-8B6F3680C391}">
            <xm:f>IF(AND($H19=Datas!$B$32,OR($O19&lt;&gt;"",$Q19&lt;&gt;"")),TRUE,FALSE)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O19:R25</xm:sqref>
        </x14:conditionalFormatting>
        <x14:conditionalFormatting xmlns:xm="http://schemas.microsoft.com/office/excel/2006/main">
          <x14:cfRule type="expression" priority="10" id="{E1329F1D-0FA4-4BFF-B7E4-641BA99A66A2}">
            <xm:f>IF(AND($H19=Datas!$B$32,OR($Z19&lt;&gt;"",$AB19&lt;&gt;"")),TRUE,FALSE)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Z19:AC25</xm:sqref>
        </x14:conditionalFormatting>
        <x14:conditionalFormatting xmlns:xm="http://schemas.microsoft.com/office/excel/2006/main">
          <x14:cfRule type="expression" priority="11" id="{3C7FCC09-D820-4257-B5A0-13B68607BABF}">
            <xm:f>IF(AND($H19=Datas!$B$32,OR($AK19&lt;&gt;"",$AM19&lt;&gt;"")),TRUE,FALSE)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AK19:AN25</xm:sqref>
        </x14:conditionalFormatting>
        <x14:conditionalFormatting xmlns:xm="http://schemas.microsoft.com/office/excel/2006/main">
          <x14:cfRule type="expression" priority="3" id="{6FAA0372-3AB3-4837-9771-7504EE19A4E3}">
            <xm:f>IF(AND($H7=Datas!$B$32,OR($M7&lt;&gt;"",$O7&lt;&gt;"")),TRUE,FALSE)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M7:P13</xm:sqref>
        </x14:conditionalFormatting>
        <x14:conditionalFormatting xmlns:xm="http://schemas.microsoft.com/office/excel/2006/main">
          <x14:cfRule type="expression" priority="1" id="{B8D29526-7E5B-42E3-A705-55F17413167F}">
            <xm:f>IF(AND($H7=Datas!$B$32,OR($Q7&lt;&gt;"",$S7&lt;&gt;"")),TRUE,FALSE)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Q7:T13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5000000}">
          <x14:formula1>
            <xm:f>Datas!$B$30:$B$32</xm:f>
          </x14:formula1>
          <xm:sqref>H7:H13</xm:sqref>
        </x14:dataValidation>
        <x14:dataValidation type="list" allowBlank="1" showInputMessage="1" showErrorMessage="1" xr:uid="{00000000-0002-0000-0200-000006000000}">
          <x14:formula1>
            <xm:f>Datas!$B$12:$B$13</xm:f>
          </x14:formula1>
          <xm:sqref>F7:F13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>
    <tabColor rgb="FFFF0000"/>
    <pageSetUpPr fitToPage="1"/>
  </sheetPr>
  <dimension ref="A1:I38"/>
  <sheetViews>
    <sheetView zoomScale="145" zoomScaleNormal="145" workbookViewId="0">
      <selection activeCell="F24" sqref="F24"/>
    </sheetView>
  </sheetViews>
  <sheetFormatPr baseColWidth="10" defaultColWidth="11.44140625" defaultRowHeight="13.2" x14ac:dyDescent="0.25"/>
  <cols>
    <col min="1" max="1" width="36.88671875" style="10" bestFit="1" customWidth="1"/>
    <col min="2" max="2" width="14.88671875" style="10" customWidth="1"/>
    <col min="3" max="3" width="13.44140625" style="10" customWidth="1"/>
    <col min="4" max="4" width="11.44140625" style="10"/>
    <col min="5" max="5" width="12.5546875" style="10" bestFit="1" customWidth="1"/>
    <col min="6" max="6" width="49.109375" style="10" bestFit="1" customWidth="1"/>
    <col min="7" max="16384" width="11.44140625" style="10"/>
  </cols>
  <sheetData>
    <row r="1" spans="1:9" x14ac:dyDescent="0.25">
      <c r="B1" s="98" t="s">
        <v>12</v>
      </c>
      <c r="C1" s="98" t="s">
        <v>13</v>
      </c>
      <c r="D1" s="94" t="s">
        <v>101</v>
      </c>
    </row>
    <row r="2" spans="1:9" x14ac:dyDescent="0.25">
      <c r="A2" s="15" t="s">
        <v>123</v>
      </c>
      <c r="B2" s="29">
        <v>7.4</v>
      </c>
      <c r="C2" s="30">
        <f>+B2*D2</f>
        <v>37</v>
      </c>
      <c r="D2" s="93">
        <v>5</v>
      </c>
      <c r="F2" s="15" t="s">
        <v>122</v>
      </c>
      <c r="G2" s="13"/>
    </row>
    <row r="3" spans="1:9" x14ac:dyDescent="0.25">
      <c r="A3" s="92" t="s">
        <v>46</v>
      </c>
      <c r="B3" s="36">
        <f>INT(B2)</f>
        <v>7</v>
      </c>
      <c r="C3" s="90"/>
      <c r="D3" s="34"/>
      <c r="F3" s="92" t="s">
        <v>100</v>
      </c>
      <c r="G3" s="89">
        <f>COUNTIFS('FT-TIS'!P7:P13,"&lt;&gt;0")</f>
        <v>5</v>
      </c>
      <c r="H3" s="88"/>
      <c r="I3" s="91"/>
    </row>
    <row r="4" spans="1:9" x14ac:dyDescent="0.25">
      <c r="A4" s="92" t="s">
        <v>47</v>
      </c>
      <c r="B4" s="37">
        <f>+(B2-B3)*60</f>
        <v>24.000000000000021</v>
      </c>
      <c r="D4" s="34"/>
      <c r="F4" s="92" t="s">
        <v>124</v>
      </c>
      <c r="G4" s="30">
        <f>+G3*B2</f>
        <v>37</v>
      </c>
      <c r="H4" s="34" t="s">
        <v>13</v>
      </c>
    </row>
    <row r="5" spans="1:9" x14ac:dyDescent="0.25">
      <c r="C5" s="88"/>
      <c r="D5" s="34"/>
    </row>
    <row r="6" spans="1:9" x14ac:dyDescent="0.25">
      <c r="C6" s="88"/>
      <c r="D6" s="34"/>
    </row>
    <row r="7" spans="1:9" x14ac:dyDescent="0.25">
      <c r="A7" s="15" t="s">
        <v>49</v>
      </c>
      <c r="B7" s="11" t="s">
        <v>50</v>
      </c>
      <c r="E7" s="17" t="s">
        <v>17</v>
      </c>
    </row>
    <row r="8" spans="1:9" x14ac:dyDescent="0.25">
      <c r="A8" s="18" t="s">
        <v>14</v>
      </c>
      <c r="B8" s="31">
        <f>+C2</f>
        <v>37</v>
      </c>
      <c r="C8" s="31">
        <f>+B8+E8</f>
        <v>45</v>
      </c>
      <c r="E8" s="35">
        <v>8</v>
      </c>
    </row>
    <row r="9" spans="1:9" x14ac:dyDescent="0.25">
      <c r="A9" s="22" t="s">
        <v>15</v>
      </c>
      <c r="B9" s="32">
        <f>+C8</f>
        <v>45</v>
      </c>
      <c r="C9" s="33">
        <v>48</v>
      </c>
      <c r="D9" s="34" t="s">
        <v>16</v>
      </c>
      <c r="E9" s="32">
        <f>+C9-B9</f>
        <v>3</v>
      </c>
    </row>
    <row r="12" spans="1:9" x14ac:dyDescent="0.25">
      <c r="A12" s="15" t="s">
        <v>20</v>
      </c>
      <c r="B12" s="19" t="s">
        <v>89</v>
      </c>
      <c r="E12" s="66" t="s">
        <v>115</v>
      </c>
      <c r="F12" s="67"/>
      <c r="G12" s="67"/>
      <c r="H12" s="67"/>
      <c r="I12" s="67"/>
    </row>
    <row r="13" spans="1:9" x14ac:dyDescent="0.2">
      <c r="B13" s="21" t="s">
        <v>88</v>
      </c>
      <c r="E13" s="69" t="s">
        <v>117</v>
      </c>
      <c r="F13" s="68"/>
      <c r="G13" s="70"/>
      <c r="H13" s="70"/>
      <c r="I13" s="70"/>
    </row>
    <row r="14" spans="1:9" x14ac:dyDescent="0.2">
      <c r="B14" s="21" t="s">
        <v>84</v>
      </c>
      <c r="E14" s="97" t="s">
        <v>116</v>
      </c>
      <c r="F14" s="68" t="s">
        <v>118</v>
      </c>
      <c r="G14" s="70"/>
      <c r="H14" s="70"/>
      <c r="I14" s="70"/>
    </row>
    <row r="15" spans="1:9" x14ac:dyDescent="0.2">
      <c r="B15" s="21" t="s">
        <v>85</v>
      </c>
      <c r="E15" s="97" t="s">
        <v>121</v>
      </c>
      <c r="F15" s="68" t="s">
        <v>119</v>
      </c>
      <c r="G15" s="70"/>
      <c r="H15" s="70"/>
      <c r="I15" s="70"/>
    </row>
    <row r="16" spans="1:9" x14ac:dyDescent="0.2">
      <c r="B16" s="21" t="s">
        <v>86</v>
      </c>
      <c r="E16" s="97" t="s">
        <v>120</v>
      </c>
      <c r="F16" s="68" t="s">
        <v>125</v>
      </c>
      <c r="G16" s="70"/>
      <c r="H16" s="70"/>
      <c r="I16" s="70"/>
    </row>
    <row r="17" spans="1:9" x14ac:dyDescent="0.2">
      <c r="B17" s="23" t="s">
        <v>90</v>
      </c>
      <c r="E17" s="97"/>
      <c r="F17" s="99" t="s">
        <v>126</v>
      </c>
      <c r="G17" s="70"/>
      <c r="H17" s="70"/>
      <c r="I17" s="70"/>
    </row>
    <row r="18" spans="1:9" x14ac:dyDescent="0.2">
      <c r="E18" s="97"/>
      <c r="F18" s="99" t="s">
        <v>130</v>
      </c>
      <c r="G18" s="70"/>
      <c r="H18" s="70"/>
      <c r="I18" s="70"/>
    </row>
    <row r="19" spans="1:9" x14ac:dyDescent="0.2">
      <c r="A19" s="14" t="s">
        <v>22</v>
      </c>
      <c r="E19" s="97" t="s">
        <v>121</v>
      </c>
      <c r="F19" s="99" t="s">
        <v>128</v>
      </c>
      <c r="G19" s="70"/>
      <c r="H19" s="70"/>
      <c r="I19" s="70"/>
    </row>
    <row r="20" spans="1:9" x14ac:dyDescent="0.2">
      <c r="A20" s="27" t="s">
        <v>23</v>
      </c>
      <c r="B20" s="25">
        <v>0.25</v>
      </c>
      <c r="E20" s="97" t="s">
        <v>127</v>
      </c>
      <c r="F20" s="99" t="s">
        <v>129</v>
      </c>
      <c r="G20" s="70"/>
      <c r="H20" s="70"/>
      <c r="I20" s="70"/>
    </row>
    <row r="21" spans="1:9" x14ac:dyDescent="0.25">
      <c r="A21" s="28" t="s">
        <v>24</v>
      </c>
      <c r="B21" s="26">
        <v>0.875</v>
      </c>
    </row>
    <row r="24" spans="1:9" ht="26.4" x14ac:dyDescent="0.25">
      <c r="A24" s="15" t="s">
        <v>38</v>
      </c>
      <c r="B24" s="16" t="s">
        <v>42</v>
      </c>
      <c r="C24" s="16" t="s">
        <v>43</v>
      </c>
    </row>
    <row r="25" spans="1:9" x14ac:dyDescent="0.25">
      <c r="A25" s="18" t="s">
        <v>39</v>
      </c>
      <c r="B25" s="19">
        <v>1</v>
      </c>
      <c r="C25" s="19">
        <v>3</v>
      </c>
      <c r="D25" s="12"/>
    </row>
    <row r="26" spans="1:9" x14ac:dyDescent="0.25">
      <c r="A26" s="20" t="s">
        <v>9</v>
      </c>
      <c r="B26" s="21">
        <v>2</v>
      </c>
      <c r="C26" s="21">
        <v>4</v>
      </c>
      <c r="D26" s="12"/>
    </row>
    <row r="27" spans="1:9" x14ac:dyDescent="0.25">
      <c r="A27" s="20" t="s">
        <v>10</v>
      </c>
      <c r="B27" s="21">
        <v>3</v>
      </c>
      <c r="C27" s="21">
        <v>6</v>
      </c>
      <c r="D27" s="12"/>
    </row>
    <row r="28" spans="1:9" x14ac:dyDescent="0.25">
      <c r="A28" s="22" t="s">
        <v>40</v>
      </c>
      <c r="B28" s="23">
        <v>3</v>
      </c>
      <c r="C28" s="23">
        <v>6</v>
      </c>
      <c r="D28" s="12"/>
    </row>
    <row r="29" spans="1:9" x14ac:dyDescent="0.25">
      <c r="B29" s="12"/>
      <c r="C29" s="12"/>
      <c r="D29" s="12"/>
    </row>
    <row r="30" spans="1:9" x14ac:dyDescent="0.25">
      <c r="A30" s="15" t="s">
        <v>37</v>
      </c>
      <c r="B30" s="19" t="s">
        <v>44</v>
      </c>
      <c r="C30" s="12"/>
      <c r="D30" s="12"/>
    </row>
    <row r="31" spans="1:9" x14ac:dyDescent="0.25">
      <c r="B31" s="21" t="s">
        <v>45</v>
      </c>
      <c r="C31" s="12"/>
    </row>
    <row r="32" spans="1:9" x14ac:dyDescent="0.25">
      <c r="B32" s="23" t="s">
        <v>21</v>
      </c>
      <c r="C32" s="12"/>
    </row>
    <row r="33" spans="1:8" x14ac:dyDescent="0.25">
      <c r="C33" s="12"/>
      <c r="D33" s="82"/>
      <c r="E33" s="82"/>
      <c r="F33" s="82"/>
      <c r="G33" s="82"/>
      <c r="H33" s="83"/>
    </row>
    <row r="34" spans="1:8" x14ac:dyDescent="0.25">
      <c r="A34" s="24" t="s">
        <v>48</v>
      </c>
      <c r="B34" s="19" t="s">
        <v>19</v>
      </c>
      <c r="C34" s="12"/>
      <c r="D34" s="85"/>
      <c r="E34" s="85"/>
      <c r="F34" s="85"/>
      <c r="G34" s="85"/>
      <c r="H34" s="86"/>
    </row>
    <row r="35" spans="1:8" x14ac:dyDescent="0.25">
      <c r="B35" s="23" t="s">
        <v>21</v>
      </c>
    </row>
    <row r="37" spans="1:8" x14ac:dyDescent="0.25">
      <c r="A37" s="24" t="s">
        <v>74</v>
      </c>
      <c r="B37" s="81" t="s">
        <v>66</v>
      </c>
      <c r="C37" s="82"/>
    </row>
    <row r="38" spans="1:8" x14ac:dyDescent="0.25">
      <c r="B38" s="84" t="s">
        <v>67</v>
      </c>
      <c r="C38" s="85"/>
    </row>
  </sheetData>
  <sheetProtection sheet="1" objects="1" scenarios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ype_x0020_de_x0020_Doc xmlns="a3d6dd07-f7ac-48fc-84f0-ba1899693377">Modèle &amp; Formulaire</Type_x0020_de_x0020_Doc>
    <Site_x0020_concern_x00e9_ xmlns="a3d6dd07-f7ac-48fc-84f0-ba1899693377">
      <Value>AIX</Value>
      <Value>FON</Value>
      <Value>MTY</Value>
      <Value>TG</Value>
    </Site_x0020_concern_x00e9_>
    <Date_x0020_Doc xmlns="a3d6dd07-f7ac-48fc-84f0-ba1899693377">2022/07/27</Date_x0020_Doc>
    <Langue xmlns="a3d6dd07-f7ac-48fc-84f0-ba1899693377">Français</Langue>
    <R_x00e9_fDoc xmlns="a3d6dd07-f7ac-48fc-84f0-ba1899693377">BT.F098</R_x00e9_fDoc>
    <Indice xmlns="a3d6dd07-f7ac-48fc-84f0-ba1899693377">03fr</Indice>
    <Processus xmlns="a3d6dd07-f7ac-48fc-84f0-ba1899693377">Mgt-E-CR</Processus>
    <Soci_x00e9_t_x00e9_ xmlns="a3d6dd07-f7ac-48fc-84f0-ba1899693377">BT</Soci_x00e9_t_x00e9_>
    <DateRevue_x0020__x0028_AAAA_x002d_MM_x002d_JJ_x0029_ xmlns="a3d6dd07-f7ac-48fc-84f0-ba1899693377">2022/07/27</DateRevue_x0020__x0028_AAAA_x002d_MM_x002d_JJ_x0029_>
    <P_x00e9_rim_x00e8_tre_x0020_QSE xmlns="a3d6dd07-f7ac-48fc-84f0-ba1899693377">QSE</P_x00e9_rim_x00e8_tre_x0020_QSE>
    <M_x00e9_tiers_x0020_Concern_x00e9_s xmlns="a3d6dd07-f7ac-48fc-84f0-ba1899693377">
      <Value>-</Value>
    </M_x00e9_tiers_x0020_Concern_x00e9_s>
    <Soci_x00e9_t_x00e9__x0020_concern_x00e9_e xmlns="a3d6dd07-f7ac-48fc-84f0-ba1899693377">
      <Value>BT</Value>
    </Soci_x00e9_t_x00e9__x0020_concern_x00e9_e>
    <Docs_x0020_Cit_x00e9_s_Mentioned_x0020_Docs xmlns="a3d6dd07-f7ac-48fc-84f0-ba1899693377">-</Docs_x0020_Cit_x00e9_s_Mentioned_x0020_Doc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2605AD2E91320478B4ABCFCE93C78C3" ma:contentTypeVersion="35" ma:contentTypeDescription="Crée un document." ma:contentTypeScope="" ma:versionID="62a5d74d703230621b3618b963cc457f">
  <xsd:schema xmlns:xsd="http://www.w3.org/2001/XMLSchema" xmlns:xs="http://www.w3.org/2001/XMLSchema" xmlns:p="http://schemas.microsoft.com/office/2006/metadata/properties" xmlns:ns2="a3d6dd07-f7ac-48fc-84f0-ba1899693377" targetNamespace="http://schemas.microsoft.com/office/2006/metadata/properties" ma:root="true" ma:fieldsID="e595c9eed556e5acc4321f04af116710" ns2:_="">
    <xsd:import namespace="a3d6dd07-f7ac-48fc-84f0-ba1899693377"/>
    <xsd:element name="properties">
      <xsd:complexType>
        <xsd:sequence>
          <xsd:element name="documentManagement">
            <xsd:complexType>
              <xsd:all>
                <xsd:element ref="ns2:R_x00e9_fDoc"/>
                <xsd:element ref="ns2:Indice"/>
                <xsd:element ref="ns2:Date_x0020_Doc"/>
                <xsd:element ref="ns2:Type_x0020_de_x0020_Doc"/>
                <xsd:element ref="ns2:Processus"/>
                <xsd:element ref="ns2:Langue"/>
                <xsd:element ref="ns2:Soci_x00e9_t_x00e9__x0020_concern_x00e9_e" minOccurs="0"/>
                <xsd:element ref="ns2:Site_x0020_concern_x00e9_" minOccurs="0"/>
                <xsd:element ref="ns2:M_x00e9_tiers_x0020_Concern_x00e9_s" minOccurs="0"/>
                <xsd:element ref="ns2:DateRevue_x0020__x0028_AAAA_x002d_MM_x002d_JJ_x0029_"/>
                <xsd:element ref="ns2:Soci_x00e9_t_x00e9_"/>
                <xsd:element ref="ns2:P_x00e9_rim_x00e8_tre_x0020_QSE"/>
                <xsd:element ref="ns2:Docs_x0020_Cit_x00e9_s_Mentioned_x0020_Docs" minOccurs="0"/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d6dd07-f7ac-48fc-84f0-ba1899693377" elementFormDefault="qualified">
    <xsd:import namespace="http://schemas.microsoft.com/office/2006/documentManagement/types"/>
    <xsd:import namespace="http://schemas.microsoft.com/office/infopath/2007/PartnerControls"/>
    <xsd:element name="R_x00e9_fDoc" ma:index="1" ma:displayName="RefDoc" ma:description="Référence du document (sans l'indice)&#10;Doc Reference (without Revision index)" ma:internalName="R_x00e9_fDoc" ma:readOnly="false">
      <xsd:simpleType>
        <xsd:restriction base="dms:Text">
          <xsd:maxLength value="50"/>
        </xsd:restriction>
      </xsd:simpleType>
    </xsd:element>
    <xsd:element name="Indice" ma:index="2" ma:displayName="Ind._Rev." ma:description="Indice du document&#10;Document Révision" ma:internalName="Indice" ma:readOnly="false">
      <xsd:simpleType>
        <xsd:restriction base="dms:Text">
          <xsd:maxLength value="10"/>
        </xsd:restriction>
      </xsd:simpleType>
    </xsd:element>
    <xsd:element name="Date_x0020_Doc" ma:index="3" ma:displayName="DocDate (yyyy/mm/dd)" ma:description="Date du Document&#10;Date of the document" ma:internalName="Date_x0020_Doc" ma:readOnly="false">
      <xsd:simpleType>
        <xsd:restriction base="dms:Text">
          <xsd:maxLength value="10"/>
        </xsd:restriction>
      </xsd:simpleType>
    </xsd:element>
    <xsd:element name="Type_x0020_de_x0020_Doc" ma:index="4" ma:displayName="DocType" ma:default="-" ma:description="Type de document (Manuel, Modèle, Formulaire, Note de Service, Organigramme, Procédure, Procédure Métier, Recommandation)" ma:format="Dropdown" ma:internalName="Type_x0020_de_x0020_Doc" ma:readOnly="false">
      <xsd:simpleType>
        <xsd:restriction base="dms:Choice">
          <xsd:enumeration value="-"/>
          <xsd:enumeration value="Accord Entreprise"/>
          <xsd:enumeration value="Manuel"/>
          <xsd:enumeration value="Modèle &amp; Formulaire"/>
          <xsd:enumeration value="Note de Service"/>
          <xsd:enumeration value="Organigramme"/>
          <xsd:enumeration value="Procédure"/>
          <xsd:enumeration value="Procédure Métier"/>
          <xsd:enumeration value="Recommandation"/>
          <xsd:enumeration value="Sensibilisation"/>
          <xsd:enumeration value="Utilisateur"/>
        </xsd:restriction>
      </xsd:simpleType>
    </xsd:element>
    <xsd:element name="Processus" ma:index="5" ma:displayName="Processus_Process" ma:description="Processus QSE concerné&#10;QSE Process involved" ma:format="Dropdown" ma:internalName="Processus" ma:readOnly="false">
      <xsd:simpleType>
        <xsd:restriction base="dms:Choice">
          <xsd:enumeration value="Mgt-E-CR"/>
          <xsd:enumeration value="Commerce"/>
          <xsd:enumeration value="Opérations"/>
          <xsd:enumeration value="RH"/>
        </xsd:restriction>
      </xsd:simpleType>
    </xsd:element>
    <xsd:element name="Langue" ma:index="6" ma:displayName="Langue_Language" ma:default="Français" ma:description="Document Language&#10;Langue du document" ma:format="Dropdown" ma:internalName="Langue" ma:readOnly="false">
      <xsd:simpleType>
        <xsd:restriction base="dms:Choice">
          <xsd:enumeration value="Deutsch"/>
          <xsd:enumeration value="English"/>
          <xsd:enumeration value="Français"/>
          <xsd:enumeration value="Italiano"/>
          <xsd:enumeration value="Svenska"/>
          <xsd:enumeration value="Other"/>
        </xsd:restriction>
      </xsd:simpleType>
    </xsd:element>
    <xsd:element name="Soci_x00e9_t_x00e9__x0020_concern_x00e9_e" ma:index="7" nillable="true" ma:displayName="Société_Company" ma:default="BT" ma:description="Société concernée&#10;Company concerned" ma:internalName="Soci_x00e9_t_x00e9__x0020_concern_x00e9_e" ma:readOnly="false" ma:requiredMultiChoice="true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BC"/>
                    <xsd:enumeration value="BEs"/>
                    <xsd:enumeration value="BEe"/>
                    <xsd:enumeration value="BG"/>
                    <xsd:enumeration value="BI"/>
                    <xsd:enumeration value="BT"/>
                    <xsd:enumeration value="BW"/>
                  </xsd:restriction>
                </xsd:simpleType>
              </xsd:element>
            </xsd:sequence>
          </xsd:extension>
        </xsd:complexContent>
      </xsd:complexType>
    </xsd:element>
    <xsd:element name="Site_x0020_concern_x00e9_" ma:index="8" nillable="true" ma:displayName="Site" ma:description="Site Concerned&#10;Site concerné" ma:internalName="Site_x0020_concern_x00e9_" ma:readOnly="false" ma:requiredMultiChoice="true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IX"/>
                    <xsd:enumeration value="BAS"/>
                    <xsd:enumeration value="DIE"/>
                    <xsd:enumeration value="FON"/>
                    <xsd:enumeration value="FRA"/>
                    <xsd:enumeration value="GEN"/>
                    <xsd:enumeration value="KAL"/>
                    <xsd:enumeration value="LUN"/>
                    <xsd:enumeration value="MTY"/>
                    <xsd:enumeration value="PER"/>
                    <xsd:enumeration value="ROC"/>
                    <xsd:enumeration value="TG"/>
                  </xsd:restriction>
                </xsd:simpleType>
              </xsd:element>
            </xsd:sequence>
          </xsd:extension>
        </xsd:complexContent>
      </xsd:complexType>
    </xsd:element>
    <xsd:element name="M_x00e9_tiers_x0020_Concern_x00e9_s" ma:index="9" nillable="true" ma:displayName="Métier concerné" ma:default="-" ma:description="Métiers concernés par le doc" ma:internalName="M_x00e9_tiers_x0020_Concern_x00e9_s" ma:readOnly="false" ma:requiredMultiChoice="true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chat"/>
                    <xsd:enumeration value="Electronique"/>
                    <xsd:enumeration value="Juridique"/>
                    <xsd:enumeration value="Mécanique"/>
                    <xsd:enumeration value="Optomécanique"/>
                    <xsd:enumeration value="-"/>
                    <xsd:enumeration value="Electronics"/>
                    <xsd:enumeration value="Legal"/>
                    <xsd:enumeration value="Mechanics"/>
                    <xsd:enumeration value="Optomechanics"/>
                    <xsd:enumeration value="Purchase"/>
                  </xsd:restriction>
                </xsd:simpleType>
              </xsd:element>
            </xsd:sequence>
          </xsd:extension>
        </xsd:complexContent>
      </xsd:complexType>
    </xsd:element>
    <xsd:element name="DateRevue_x0020__x0028_AAAA_x002d_MM_x002d_JJ_x0029_" ma:index="13" ma:displayName="LastReview (yyyy/mm/dd)" ma:description="Date de la dernière revue de ce doc&#10;Last review date of the document" ma:internalName="DateRevue_x0020__x0028_AAAA_x002d_MM_x002d_JJ_x0029_" ma:readOnly="false">
      <xsd:simpleType>
        <xsd:restriction base="dms:Text">
          <xsd:maxLength value="10"/>
        </xsd:restriction>
      </xsd:simpleType>
    </xsd:element>
    <xsd:element name="Soci_x00e9_t_x00e9_" ma:index="14" ma:displayName="Origine_Origin" ma:default="BT" ma:description="Origine du doc&#10;Origin of the doc" ma:format="Dropdown" ma:internalName="Soci_x00e9_t_x00e9_" ma:readOnly="false">
      <xsd:simpleType>
        <xsd:restriction base="dms:Choice">
          <xsd:enumeration value="BC"/>
          <xsd:enumeration value="BEs"/>
          <xsd:enumeration value="BEe"/>
          <xsd:enumeration value="BG"/>
          <xsd:enumeration value="BI"/>
          <xsd:enumeration value="BT"/>
          <xsd:enumeration value="BW"/>
          <xsd:enumeration value="Autre"/>
          <xsd:enumeration value="ES"/>
          <xsd:enumeration value="EE"/>
          <xsd:enumeration value="CNIM"/>
          <xsd:enumeration value="WS"/>
        </xsd:restriction>
      </xsd:simpleType>
    </xsd:element>
    <xsd:element name="P_x00e9_rim_x00e8_tre_x0020_QSE" ma:index="16" ma:displayName="Périmètre QSE" ma:default="QSE" ma:description="Périmètre QSE Concerné" ma:format="Dropdown" ma:internalName="P_x00e9_rim_x00e8_tre_x0020_QSE" ma:readOnly="false">
      <xsd:simpleType>
        <xsd:restriction base="dms:Choice">
          <xsd:enumeration value="QSE"/>
          <xsd:enumeration value="SE"/>
          <xsd:enumeration value="Qualité"/>
          <xsd:enumeration value="Sécurité"/>
          <xsd:enumeration value="Env."/>
        </xsd:restriction>
      </xsd:simpleType>
    </xsd:element>
    <xsd:element name="Docs_x0020_Cit_x00e9_s_Mentioned_x0020_Docs" ma:index="23" nillable="true" ma:displayName="Docs Cités_Mentioned Docs" ma:description="Liste des références des docs cités par le présent document" ma:internalName="Docs_x0020_Cit_x00e9_s_Mentioned_x0020_Docs" ma:readOnly="false">
      <xsd:simpleType>
        <xsd:restriction base="dms:Note"/>
      </xsd:simpleType>
    </xsd:element>
    <xsd:element name="MediaServiceMetadata" ma:index="2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5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15" ma:displayName="Auteur"/>
        <xsd:element ref="dcterms:created" minOccurs="0" maxOccurs="1"/>
        <xsd:element ref="dc:identifier" minOccurs="0" maxOccurs="1"/>
        <xsd:element name="contentType" minOccurs="0" maxOccurs="1" type="xsd:string" ma:index="21" ma:displayName="Type de contenu"/>
        <xsd:element ref="dc:title" minOccurs="0" maxOccurs="1" ma:index="10" ma:displayName="Complément"/>
        <xsd:element ref="dc:subject" minOccurs="0" maxOccurs="1" ma:index="11" ma:displayName="Objet_Subject"/>
        <xsd:element ref="dc:description" minOccurs="0" maxOccurs="1"/>
        <xsd:element name="keywords" minOccurs="0" maxOccurs="1" type="xsd:string" ma:index="12" ma:displayName="Mots clés_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ECC8AC9-9725-43AE-B70A-6D2B4C79B616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B18A3704-DE2D-476C-88B3-60EB74CE5930}">
  <ds:schemaRefs>
    <ds:schemaRef ds:uri="http://schemas.microsoft.com/office/2006/metadata/properties"/>
    <ds:schemaRef ds:uri="http://schemas.microsoft.com/office/infopath/2007/PartnerControls"/>
    <ds:schemaRef ds:uri="a3d6dd07-f7ac-48fc-84f0-ba1899693377"/>
  </ds:schemaRefs>
</ds:datastoreItem>
</file>

<file path=customXml/itemProps3.xml><?xml version="1.0" encoding="utf-8"?>
<ds:datastoreItem xmlns:ds="http://schemas.openxmlformats.org/officeDocument/2006/customXml" ds:itemID="{39859963-B1B1-4969-9086-98B8B1EEAB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d6dd07-f7ac-48fc-84f0-ba18996933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FAC8BBD-88C7-4213-903A-0EB2F4D30DC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8</vt:i4>
      </vt:variant>
    </vt:vector>
  </HeadingPairs>
  <TitlesOfParts>
    <vt:vector size="12" baseType="lpstr">
      <vt:lpstr>FT-TIS</vt:lpstr>
      <vt:lpstr>Scénarii tests de validation</vt:lpstr>
      <vt:lpstr>Astreinte</vt:lpstr>
      <vt:lpstr>Datas</vt:lpstr>
      <vt:lpstr>Astreinte!Astreinte_DebFin</vt:lpstr>
      <vt:lpstr>Astreinte_Nb_HresInterv</vt:lpstr>
      <vt:lpstr>Astreinte_Nb_UBA</vt:lpstr>
      <vt:lpstr>Date_Deb</vt:lpstr>
      <vt:lpstr>Date_Fin</vt:lpstr>
      <vt:lpstr>NomSupHiercharchique</vt:lpstr>
      <vt:lpstr>NomTechnicien</vt:lpstr>
      <vt:lpstr>NumSemaine</vt:lpstr>
    </vt:vector>
  </TitlesOfParts>
  <Company>BERTIN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Feuille de temps Technicien Intervention sur Site</dc:title>
  <dc:subject>Feuille de temps Technicien Intervention sur Site</dc:subject>
  <dc:creator>BERTIN TECHNOLOGIES</dc:creator>
  <cp:keywords>Feuille Temps Technicien Intervention sur Site Astreinte Heure</cp:keywords>
  <cp:lastModifiedBy>BEROUD BLANC, Romain</cp:lastModifiedBy>
  <cp:lastPrinted>2026-02-27T13:13:17Z</cp:lastPrinted>
  <dcterms:created xsi:type="dcterms:W3CDTF">2009-09-29T14:44:02Z</dcterms:created>
  <dcterms:modified xsi:type="dcterms:W3CDTF">2026-02-27T13:17:18Z</dcterms:modified>
  <cp:category>QSE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der">
    <vt:r8>27400</vt:r8>
  </property>
  <property fmtid="{D5CDD505-2E9C-101B-9397-08002B2CF9AE}" pid="3" name="Kit">
    <vt:lpwstr>Admininistration</vt:lpwstr>
  </property>
  <property fmtid="{D5CDD505-2E9C-101B-9397-08002B2CF9AE}" pid="4" name="ContentType">
    <vt:lpwstr>Document</vt:lpwstr>
  </property>
  <property fmtid="{D5CDD505-2E9C-101B-9397-08002B2CF9AE}" pid="5" name="URL">
    <vt:lpwstr/>
  </property>
  <property fmtid="{D5CDD505-2E9C-101B-9397-08002B2CF9AE}" pid="6" name="ContentTypeId">
    <vt:lpwstr>0x010100C2605AD2E91320478B4ABCFCE93C78C3</vt:lpwstr>
  </property>
  <property fmtid="{D5CDD505-2E9C-101B-9397-08002B2CF9AE}" pid="7" name="Old Kit">
    <vt:lpwstr>Modèle Kit Admin</vt:lpwstr>
  </property>
  <property fmtid="{D5CDD505-2E9C-101B-9397-08002B2CF9AE}" pid="8" name="Périmètre QSE">
    <vt:lpwstr>QSE</vt:lpwstr>
  </property>
  <property fmtid="{D5CDD505-2E9C-101B-9397-08002B2CF9AE}" pid="9" name="Métiers Concernés">
    <vt:lpwstr>-</vt:lpwstr>
  </property>
  <property fmtid="{D5CDD505-2E9C-101B-9397-08002B2CF9AE}" pid="10" name="Objet">
    <vt:lpwstr>Feuille de temps Technicien Intervention sur Site </vt:lpwstr>
  </property>
</Properties>
</file>